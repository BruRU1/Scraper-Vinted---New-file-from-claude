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Invoice Log" sheetId="3" state="visible" r:id="rId3"/>
  </sheets>
  <definedNames>
    <definedName name="BizName">Settings!$B$4</definedName>
    <definedName name="Addr1">Settings!$B$5</definedName>
    <definedName name="Addr2">Settings!$B$6</definedName>
    <definedName name="BizEmail">Settings!$B$7</definedName>
    <definedName name="BizPhone">Settings!$B$8</definedName>
    <definedName name="VATNo">Settings!$B$9</definedName>
    <definedName name="VATRate">Settings!$B$10</definedName>
    <definedName name="BankName">Settings!$B$11</definedName>
    <definedName name="SortCode">Settings!$B$12</definedName>
    <definedName name="AcctNo">Settings!$B$13</definedName>
    <definedName name="TermsDays">Settings!$B$14</definedName>
    <definedName name="NextNo">Settings!$B$15</definedName>
    <definedName name="_xlnm.Print_Area" localSheetId="1">'Invoice'!$A$1:$D$28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£#,##0.00;[Red]-£#,##0.00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6666"/>
    </font>
    <font>
      <b val="1"/>
      <color rgb="001F3A5F"/>
      <sz val="18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3A5F"/>
      </patternFill>
    </fill>
    <fill>
      <patternFill patternType="solid">
        <fgColor rgb="00EAF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9" fontId="0" fillId="2" borderId="1" pivotButton="0" quotePrefix="0" xfId="0"/>
    <xf numFmtId="0" fontId="3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66" fontId="0" fillId="2" borderId="1" pivotButton="0" quotePrefix="0" xfId="0"/>
    <xf numFmtId="166" fontId="0" fillId="0" borderId="1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4" borderId="0" pivotButton="0" quotePrefix="0" xfId="0"/>
    <xf numFmtId="166" fontId="6" fillId="4" borderId="0" pivotButton="0" quotePrefix="0" xfId="0"/>
    <xf numFmtId="0" fontId="5" fillId="3" borderId="0" applyAlignment="1" pivotButton="0" quotePrefix="0" xfId="0">
      <alignment horizontal="center" wrapText="1"/>
    </xf>
    <xf numFmtId="165" fontId="0" fillId="2" borderId="1" pivotButton="0" quotePrefix="0" xfId="0"/>
    <xf numFmtId="166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D7DA"/>
        </patternFill>
      </fill>
    </dxf>
    <dxf>
      <fill>
        <patternFill patternType="solid"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</cols>
  <sheetData>
    <row r="1">
      <c r="A1" s="1" t="inlineStr">
        <is>
          <t>Your business details</t>
        </is>
      </c>
    </row>
    <row r="2">
      <c r="A2" s="2" t="inlineStr">
        <is>
          <t>Fill the yellow cells once - they appear on every invoice</t>
        </is>
      </c>
    </row>
    <row r="4">
      <c r="A4" s="3" t="inlineStr">
        <is>
          <t>Business / trading name</t>
        </is>
      </c>
      <c r="B4" s="4" t="inlineStr">
        <is>
          <t>[YOUR BUSINESS NAME]</t>
        </is>
      </c>
    </row>
    <row r="5">
      <c r="A5" s="3" t="inlineStr">
        <is>
          <t>Address line 1</t>
        </is>
      </c>
      <c r="B5" s="4" t="inlineStr">
        <is>
          <t>[ADDRESS LINE 1]</t>
        </is>
      </c>
    </row>
    <row r="6">
      <c r="A6" s="3" t="inlineStr">
        <is>
          <t>Address line 2 / postcode</t>
        </is>
      </c>
      <c r="B6" s="4" t="inlineStr">
        <is>
          <t>[TOWN, POSTCODE]</t>
        </is>
      </c>
    </row>
    <row r="7">
      <c r="A7" s="3" t="inlineStr">
        <is>
          <t>Email</t>
        </is>
      </c>
      <c r="B7" s="4" t="inlineStr">
        <is>
          <t>[YOUR EMAIL]</t>
        </is>
      </c>
    </row>
    <row r="8">
      <c r="A8" s="3" t="inlineStr">
        <is>
          <t>Phone</t>
        </is>
      </c>
      <c r="B8" s="4" t="inlineStr">
        <is>
          <t>[YOUR PHONE]</t>
        </is>
      </c>
    </row>
    <row r="9">
      <c r="A9" s="3" t="inlineStr">
        <is>
          <t>VAT number (leave blank if not VAT registered)</t>
        </is>
      </c>
      <c r="B9" s="4" t="inlineStr"/>
    </row>
    <row r="10">
      <c r="A10" s="3" t="inlineStr">
        <is>
          <t>VAT rate (0% if not registered)</t>
        </is>
      </c>
      <c r="B10" s="5" t="n">
        <v>0</v>
      </c>
    </row>
    <row r="11">
      <c r="A11" s="3" t="inlineStr">
        <is>
          <t>Bank account name</t>
        </is>
      </c>
      <c r="B11" s="4" t="inlineStr">
        <is>
          <t>[ACCOUNT NAME]</t>
        </is>
      </c>
    </row>
    <row r="12">
      <c r="A12" s="3" t="inlineStr">
        <is>
          <t>Sort code</t>
        </is>
      </c>
      <c r="B12" s="4" t="inlineStr">
        <is>
          <t>[00-00-00]</t>
        </is>
      </c>
    </row>
    <row r="13">
      <c r="A13" s="3" t="inlineStr">
        <is>
          <t>Account number</t>
        </is>
      </c>
      <c r="B13" s="4" t="inlineStr">
        <is>
          <t>[00000000]</t>
        </is>
      </c>
    </row>
    <row r="14">
      <c r="A14" s="3" t="inlineStr">
        <is>
          <t>Payment terms (days)</t>
        </is>
      </c>
      <c r="B14" s="4" t="n">
        <v>14</v>
      </c>
    </row>
    <row r="15">
      <c r="A15" s="3" t="inlineStr">
        <is>
          <t>Next invoice number</t>
        </is>
      </c>
      <c r="B15" s="4" t="n">
        <v>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6" customWidth="1" min="4" max="4"/>
    <col width="4" customWidth="1" min="5" max="5"/>
  </cols>
  <sheetData>
    <row r="1">
      <c r="A1" s="6">
        <f>BizName</f>
        <v/>
      </c>
      <c r="C1" s="6" t="inlineStr">
        <is>
          <t>INVOICE</t>
        </is>
      </c>
    </row>
    <row r="2">
      <c r="A2">
        <f>Addr1</f>
        <v/>
      </c>
    </row>
    <row r="3">
      <c r="A3">
        <f>Addr2</f>
        <v/>
      </c>
      <c r="C3" t="inlineStr">
        <is>
          <t>Invoice no.</t>
        </is>
      </c>
      <c r="D3" s="7">
        <f>NextNo</f>
        <v/>
      </c>
    </row>
    <row r="4">
      <c r="A4">
        <f>BizEmail&amp;"  |  "&amp;BizPhone</f>
        <v/>
      </c>
      <c r="C4" t="inlineStr">
        <is>
          <t>Invoice date</t>
        </is>
      </c>
      <c r="D4" s="8" t="n">
        <v>46328</v>
      </c>
    </row>
    <row r="5">
      <c r="A5">
        <f>IF(VATNo="","","VAT No: "&amp;VATNo)</f>
        <v/>
      </c>
      <c r="C5" t="inlineStr">
        <is>
          <t>Due date</t>
        </is>
      </c>
      <c r="D5" s="9">
        <f>IF(D4="","",D4+TermsDays)</f>
        <v/>
      </c>
    </row>
    <row r="7">
      <c r="A7" s="10" t="inlineStr">
        <is>
          <t>Bill to</t>
        </is>
      </c>
    </row>
    <row r="8">
      <c r="A8" s="7" t="inlineStr">
        <is>
          <t>Acme Ltd</t>
        </is>
      </c>
    </row>
    <row r="9">
      <c r="A9" s="7" t="inlineStr">
        <is>
          <t>1 High Street, London</t>
        </is>
      </c>
    </row>
    <row r="11">
      <c r="A11" s="11" t="inlineStr">
        <is>
          <t>Description</t>
        </is>
      </c>
      <c r="B11" s="11" t="inlineStr">
        <is>
          <t>Qty</t>
        </is>
      </c>
      <c r="C11" s="11" t="inlineStr">
        <is>
          <t>Unit price</t>
        </is>
      </c>
      <c r="D11" s="11" t="inlineStr">
        <is>
          <t>Amount</t>
        </is>
      </c>
    </row>
    <row r="12">
      <c r="A12" s="4" t="inlineStr">
        <is>
          <t>Website design</t>
        </is>
      </c>
      <c r="B12" s="4" t="n">
        <v>1</v>
      </c>
      <c r="C12" s="12" t="n">
        <v>1500</v>
      </c>
      <c r="D12" s="13">
        <f>IF(OR(B12="",C12=""),"",B12*C12)</f>
        <v/>
      </c>
    </row>
    <row r="13">
      <c r="A13" s="4" t="inlineStr">
        <is>
          <t>Hosting (12 months)</t>
        </is>
      </c>
      <c r="B13" s="4" t="n">
        <v>12</v>
      </c>
      <c r="C13" s="12" t="n">
        <v>10</v>
      </c>
      <c r="D13" s="13">
        <f>IF(OR(B13="",C13=""),"",B13*C13)</f>
        <v/>
      </c>
    </row>
    <row r="14">
      <c r="A14" s="4" t="n"/>
      <c r="B14" s="4" t="n"/>
      <c r="C14" s="12" t="n"/>
      <c r="D14" s="13">
        <f>IF(OR(B14="",C14=""),"",B14*C14)</f>
        <v/>
      </c>
    </row>
    <row r="15">
      <c r="A15" s="4" t="n"/>
      <c r="B15" s="4" t="n"/>
      <c r="C15" s="12" t="n"/>
      <c r="D15" s="13">
        <f>IF(OR(B15="",C15=""),"",B15*C15)</f>
        <v/>
      </c>
    </row>
    <row r="16">
      <c r="A16" s="4" t="n"/>
      <c r="B16" s="4" t="n"/>
      <c r="C16" s="12" t="n"/>
      <c r="D16" s="13">
        <f>IF(OR(B16="",C16=""),"",B16*C16)</f>
        <v/>
      </c>
    </row>
    <row r="17">
      <c r="A17" s="4" t="n"/>
      <c r="B17" s="4" t="n"/>
      <c r="C17" s="12" t="n"/>
      <c r="D17" s="13">
        <f>IF(OR(B17="",C17=""),"",B17*C17)</f>
        <v/>
      </c>
    </row>
    <row r="18">
      <c r="A18" s="4" t="n"/>
      <c r="B18" s="4" t="n"/>
      <c r="C18" s="12" t="n"/>
      <c r="D18" s="13">
        <f>IF(OR(B18="",C18=""),"",B18*C18)</f>
        <v/>
      </c>
    </row>
    <row r="19">
      <c r="A19" s="4" t="n"/>
      <c r="B19" s="4" t="n"/>
      <c r="C19" s="12" t="n"/>
      <c r="D19" s="13">
        <f>IF(OR(B19="",C19=""),"",B19*C19)</f>
        <v/>
      </c>
    </row>
    <row r="20">
      <c r="A20" s="4" t="n"/>
      <c r="B20" s="4" t="n"/>
      <c r="C20" s="12" t="n"/>
      <c r="D20" s="13">
        <f>IF(OR(B20="",C20=""),"",B20*C20)</f>
        <v/>
      </c>
    </row>
    <row r="21">
      <c r="A21" s="4" t="n"/>
      <c r="B21" s="4" t="n"/>
      <c r="C21" s="12" t="n"/>
      <c r="D21" s="13">
        <f>IF(OR(B21="",C21=""),"",B21*C21)</f>
        <v/>
      </c>
    </row>
    <row r="23">
      <c r="A23">
        <f>"Payment due within "&amp;TermsDays&amp;" days"</f>
        <v/>
      </c>
      <c r="C23" t="inlineStr">
        <is>
          <t>Subtotal</t>
        </is>
      </c>
      <c r="D23" s="14">
        <f>SUM(D12:D21)</f>
        <v/>
      </c>
    </row>
    <row r="24">
      <c r="C24">
        <f>"VAT @ "&amp;TEXT(VATRate,"0%")</f>
        <v/>
      </c>
      <c r="D24" s="14">
        <f>ROUND(D23*VATRate,2)</f>
        <v/>
      </c>
    </row>
    <row r="25">
      <c r="A25" s="15">
        <f>"Pay by bank transfer to "&amp;BankName&amp;", sort code "&amp;SortCode&amp;", account "&amp;AcctNo&amp;", ref INV-"&amp;D3</f>
        <v/>
      </c>
      <c r="C25" s="16" t="inlineStr">
        <is>
          <t>TOTAL DUE</t>
        </is>
      </c>
      <c r="D25" s="17">
        <f>D23+D24</f>
        <v/>
      </c>
    </row>
    <row r="26"/>
    <row r="27"/>
  </sheetData>
  <mergeCells count="1">
    <mergeCell ref="A25:B27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1" max="11"/>
  </cols>
  <sheetData>
    <row r="1">
      <c r="A1" s="1" t="inlineStr">
        <is>
          <t>Invoice Log</t>
        </is>
      </c>
    </row>
    <row r="2">
      <c r="A2" s="2" t="inlineStr">
        <is>
          <t>Add a row for each invoice sent. Status turns OVERDUE automatically.</t>
        </is>
      </c>
    </row>
    <row r="4">
      <c r="A4" s="18" t="inlineStr">
        <is>
          <t>Invoice no.</t>
        </is>
      </c>
      <c r="B4" s="18" t="inlineStr">
        <is>
          <t>Client</t>
        </is>
      </c>
      <c r="C4" s="18" t="inlineStr">
        <is>
          <t>Issue date</t>
        </is>
      </c>
      <c r="D4" s="18" t="inlineStr">
        <is>
          <t>Terms (days)</t>
        </is>
      </c>
      <c r="E4" s="18" t="inlineStr">
        <is>
          <t>Due date</t>
        </is>
      </c>
      <c r="F4" s="18" t="inlineStr">
        <is>
          <t>Amount (£)</t>
        </is>
      </c>
      <c r="G4" s="18" t="inlineStr">
        <is>
          <t>Date paid</t>
        </is>
      </c>
      <c r="H4" s="18" t="inlineStr">
        <is>
          <t>Status</t>
        </is>
      </c>
      <c r="I4" s="18" t="inlineStr">
        <is>
          <t>Days overdue</t>
        </is>
      </c>
      <c r="K4" s="10" t="inlineStr">
        <is>
          <t>Outstanding</t>
        </is>
      </c>
    </row>
    <row r="5">
      <c r="A5" s="4" t="n">
        <v>1001</v>
      </c>
      <c r="B5" s="4" t="inlineStr">
        <is>
          <t>Acme Ltd</t>
        </is>
      </c>
      <c r="C5" s="19" t="n">
        <v>46266</v>
      </c>
      <c r="D5" s="4" t="n">
        <v>14</v>
      </c>
      <c r="E5" s="9">
        <f>IF(OR(C5="",D5=""),"",C5+D5)</f>
        <v/>
      </c>
      <c r="F5" s="12" t="n">
        <v>1620</v>
      </c>
      <c r="G5" s="19" t="n">
        <v>46275</v>
      </c>
      <c r="H5">
        <f>IF(A5="","",IF(G5&lt;&gt;"","Paid",IF(TODAY()&gt;E5,"OVERDUE","Awaiting payment")))</f>
        <v/>
      </c>
      <c r="I5">
        <f>IF(H5="OVERDUE",TODAY()-E5,"")</f>
        <v/>
      </c>
      <c r="K5" s="20">
        <f>SUMIFS(F5:F504,H5:H504,"Awaiting payment")+SUMIFS(F5:F504,H5:H504,"OVERDUE")</f>
        <v/>
      </c>
    </row>
    <row r="6">
      <c r="A6" s="4" t="n">
        <v>1002</v>
      </c>
      <c r="B6" s="4" t="inlineStr">
        <is>
          <t>Bloom Cafe</t>
        </is>
      </c>
      <c r="C6" s="19" t="n">
        <v>46285</v>
      </c>
      <c r="D6" s="4" t="n">
        <v>14</v>
      </c>
      <c r="E6" s="9">
        <f>IF(OR(C6="",D6=""),"",C6+D6)</f>
        <v/>
      </c>
      <c r="F6" s="12" t="n">
        <v>800</v>
      </c>
      <c r="G6" s="19" t="n"/>
      <c r="H6">
        <f>IF(A6="","",IF(G6&lt;&gt;"","Paid",IF(TODAY()&gt;E6,"OVERDUE","Awaiting payment")))</f>
        <v/>
      </c>
      <c r="I6">
        <f>IF(H6="OVERDUE",TODAY()-E6,"")</f>
        <v/>
      </c>
    </row>
    <row r="7">
      <c r="A7" s="4" t="n">
        <v>1003</v>
      </c>
      <c r="B7" s="4" t="inlineStr">
        <is>
          <t>J Smith</t>
        </is>
      </c>
      <c r="C7" s="19" t="n">
        <v>72686</v>
      </c>
      <c r="D7" s="4" t="n">
        <v>14</v>
      </c>
      <c r="E7" s="9">
        <f>IF(OR(C7="",D7=""),"",C7+D7)</f>
        <v/>
      </c>
      <c r="F7" s="12" t="n">
        <v>500</v>
      </c>
      <c r="G7" s="19" t="n"/>
      <c r="H7">
        <f>IF(A7="","",IF(G7&lt;&gt;"","Paid",IF(TODAY()&gt;E7,"OVERDUE","Awaiting payment")))</f>
        <v/>
      </c>
      <c r="I7">
        <f>IF(H7="OVERDUE",TODAY()-E7,"")</f>
        <v/>
      </c>
      <c r="K7" s="10" t="inlineStr">
        <is>
          <t>Overdue</t>
        </is>
      </c>
    </row>
    <row r="8">
      <c r="A8" s="4" t="n"/>
      <c r="B8" s="4" t="n"/>
      <c r="C8" s="19" t="n"/>
      <c r="D8" s="4" t="n"/>
      <c r="E8" s="9">
        <f>IF(OR(C8="",D8=""),"",C8+D8)</f>
        <v/>
      </c>
      <c r="F8" s="12" t="n"/>
      <c r="G8" s="19" t="n"/>
      <c r="H8">
        <f>IF(A8="","",IF(G8&lt;&gt;"","Paid",IF(TODAY()&gt;E8,"OVERDUE","Awaiting payment")))</f>
        <v/>
      </c>
      <c r="I8">
        <f>IF(H8="OVERDUE",TODAY()-E8,"")</f>
        <v/>
      </c>
      <c r="K8" s="20">
        <f>SUMIFS(F5:F504,H5:H504,"OVERDUE")</f>
        <v/>
      </c>
    </row>
    <row r="9">
      <c r="A9" s="4" t="n"/>
      <c r="B9" s="4" t="n"/>
      <c r="C9" s="19" t="n"/>
      <c r="D9" s="4" t="n"/>
      <c r="E9" s="9">
        <f>IF(OR(C9="",D9=""),"",C9+D9)</f>
        <v/>
      </c>
      <c r="F9" s="12" t="n"/>
      <c r="G9" s="19" t="n"/>
      <c r="H9">
        <f>IF(A9="","",IF(G9&lt;&gt;"","Paid",IF(TODAY()&gt;E9,"OVERDUE","Awaiting payment")))</f>
        <v/>
      </c>
      <c r="I9">
        <f>IF(H9="OVERDUE",TODAY()-E9,"")</f>
        <v/>
      </c>
    </row>
    <row r="10">
      <c r="A10" s="4" t="n"/>
      <c r="B10" s="4" t="n"/>
      <c r="C10" s="19" t="n"/>
      <c r="D10" s="4" t="n"/>
      <c r="E10" s="9">
        <f>IF(OR(C10="",D10=""),"",C10+D10)</f>
        <v/>
      </c>
      <c r="F10" s="12" t="n"/>
      <c r="G10" s="19" t="n"/>
      <c r="H10">
        <f>IF(A10="","",IF(G10&lt;&gt;"","Paid",IF(TODAY()&gt;E10,"OVERDUE","Awaiting payment")))</f>
        <v/>
      </c>
      <c r="I10">
        <f>IF(H10="OVERDUE",TODAY()-E10,"")</f>
        <v/>
      </c>
      <c r="K10" s="10" t="inlineStr">
        <is>
          <t>Paid</t>
        </is>
      </c>
    </row>
    <row r="11">
      <c r="A11" s="4" t="n"/>
      <c r="B11" s="4" t="n"/>
      <c r="C11" s="19" t="n"/>
      <c r="D11" s="4" t="n"/>
      <c r="E11" s="9">
        <f>IF(OR(C11="",D11=""),"",C11+D11)</f>
        <v/>
      </c>
      <c r="F11" s="12" t="n"/>
      <c r="G11" s="19" t="n"/>
      <c r="H11">
        <f>IF(A11="","",IF(G11&lt;&gt;"","Paid",IF(TODAY()&gt;E11,"OVERDUE","Awaiting payment")))</f>
        <v/>
      </c>
      <c r="I11">
        <f>IF(H11="OVERDUE",TODAY()-E11,"")</f>
        <v/>
      </c>
      <c r="K11" s="20">
        <f>SUMIFS(F5:F504,H5:H504,"Paid")</f>
        <v/>
      </c>
    </row>
    <row r="12">
      <c r="A12" s="4" t="n"/>
      <c r="B12" s="4" t="n"/>
      <c r="C12" s="19" t="n"/>
      <c r="D12" s="4" t="n"/>
      <c r="E12" s="9">
        <f>IF(OR(C12="",D12=""),"",C12+D12)</f>
        <v/>
      </c>
      <c r="F12" s="12" t="n"/>
      <c r="G12" s="19" t="n"/>
      <c r="H12">
        <f>IF(A12="","",IF(G12&lt;&gt;"","Paid",IF(TODAY()&gt;E12,"OVERDUE","Awaiting payment")))</f>
        <v/>
      </c>
      <c r="I12">
        <f>IF(H12="OVERDUE",TODAY()-E12,"")</f>
        <v/>
      </c>
    </row>
    <row r="13">
      <c r="A13" s="4" t="n"/>
      <c r="B13" s="4" t="n"/>
      <c r="C13" s="19" t="n"/>
      <c r="D13" s="4" t="n"/>
      <c r="E13" s="9">
        <f>IF(OR(C13="",D13=""),"",C13+D13)</f>
        <v/>
      </c>
      <c r="F13" s="12" t="n"/>
      <c r="G13" s="19" t="n"/>
      <c r="H13">
        <f>IF(A13="","",IF(G13&lt;&gt;"","Paid",IF(TODAY()&gt;E13,"OVERDUE","Awaiting payment")))</f>
        <v/>
      </c>
      <c r="I13">
        <f>IF(H13="OVERDUE",TODAY()-E13,"")</f>
        <v/>
      </c>
    </row>
    <row r="14">
      <c r="A14" s="4" t="n"/>
      <c r="B14" s="4" t="n"/>
      <c r="C14" s="19" t="n"/>
      <c r="D14" s="4" t="n"/>
      <c r="E14" s="9">
        <f>IF(OR(C14="",D14=""),"",C14+D14)</f>
        <v/>
      </c>
      <c r="F14" s="12" t="n"/>
      <c r="G14" s="19" t="n"/>
      <c r="H14">
        <f>IF(A14="","",IF(G14&lt;&gt;"","Paid",IF(TODAY()&gt;E14,"OVERDUE","Awaiting payment")))</f>
        <v/>
      </c>
      <c r="I14">
        <f>IF(H14="OVERDUE",TODAY()-E14,"")</f>
        <v/>
      </c>
    </row>
    <row r="15">
      <c r="A15" s="4" t="n"/>
      <c r="B15" s="4" t="n"/>
      <c r="C15" s="19" t="n"/>
      <c r="D15" s="4" t="n"/>
      <c r="E15" s="9">
        <f>IF(OR(C15="",D15=""),"",C15+D15)</f>
        <v/>
      </c>
      <c r="F15" s="12" t="n"/>
      <c r="G15" s="19" t="n"/>
      <c r="H15">
        <f>IF(A15="","",IF(G15&lt;&gt;"","Paid",IF(TODAY()&gt;E15,"OVERDUE","Awaiting payment")))</f>
        <v/>
      </c>
      <c r="I15">
        <f>IF(H15="OVERDUE",TODAY()-E15,"")</f>
        <v/>
      </c>
    </row>
    <row r="16">
      <c r="A16" s="4" t="n"/>
      <c r="B16" s="4" t="n"/>
      <c r="C16" s="19" t="n"/>
      <c r="D16" s="4" t="n"/>
      <c r="E16" s="9">
        <f>IF(OR(C16="",D16=""),"",C16+D16)</f>
        <v/>
      </c>
      <c r="F16" s="12" t="n"/>
      <c r="G16" s="19" t="n"/>
      <c r="H16">
        <f>IF(A16="","",IF(G16&lt;&gt;"","Paid",IF(TODAY()&gt;E16,"OVERDUE","Awaiting payment")))</f>
        <v/>
      </c>
      <c r="I16">
        <f>IF(H16="OVERDUE",TODAY()-E16,"")</f>
        <v/>
      </c>
    </row>
    <row r="17">
      <c r="A17" s="4" t="n"/>
      <c r="B17" s="4" t="n"/>
      <c r="C17" s="19" t="n"/>
      <c r="D17" s="4" t="n"/>
      <c r="E17" s="9">
        <f>IF(OR(C17="",D17=""),"",C17+D17)</f>
        <v/>
      </c>
      <c r="F17" s="12" t="n"/>
      <c r="G17" s="19" t="n"/>
      <c r="H17">
        <f>IF(A17="","",IF(G17&lt;&gt;"","Paid",IF(TODAY()&gt;E17,"OVERDUE","Awaiting payment")))</f>
        <v/>
      </c>
      <c r="I17">
        <f>IF(H17="OVERDUE",TODAY()-E17,"")</f>
        <v/>
      </c>
    </row>
    <row r="18">
      <c r="A18" s="4" t="n"/>
      <c r="B18" s="4" t="n"/>
      <c r="C18" s="19" t="n"/>
      <c r="D18" s="4" t="n"/>
      <c r="E18" s="9">
        <f>IF(OR(C18="",D18=""),"",C18+D18)</f>
        <v/>
      </c>
      <c r="F18" s="12" t="n"/>
      <c r="G18" s="19" t="n"/>
      <c r="H18">
        <f>IF(A18="","",IF(G18&lt;&gt;"","Paid",IF(TODAY()&gt;E18,"OVERDUE","Awaiting payment")))</f>
        <v/>
      </c>
      <c r="I18">
        <f>IF(H18="OVERDUE",TODAY()-E18,"")</f>
        <v/>
      </c>
    </row>
    <row r="19">
      <c r="A19" s="4" t="n"/>
      <c r="B19" s="4" t="n"/>
      <c r="C19" s="19" t="n"/>
      <c r="D19" s="4" t="n"/>
      <c r="E19" s="9">
        <f>IF(OR(C19="",D19=""),"",C19+D19)</f>
        <v/>
      </c>
      <c r="F19" s="12" t="n"/>
      <c r="G19" s="19" t="n"/>
      <c r="H19">
        <f>IF(A19="","",IF(G19&lt;&gt;"","Paid",IF(TODAY()&gt;E19,"OVERDUE","Awaiting payment")))</f>
        <v/>
      </c>
      <c r="I19">
        <f>IF(H19="OVERDUE",TODAY()-E19,"")</f>
        <v/>
      </c>
    </row>
    <row r="20">
      <c r="A20" s="4" t="n"/>
      <c r="B20" s="4" t="n"/>
      <c r="C20" s="19" t="n"/>
      <c r="D20" s="4" t="n"/>
      <c r="E20" s="9">
        <f>IF(OR(C20="",D20=""),"",C20+D20)</f>
        <v/>
      </c>
      <c r="F20" s="12" t="n"/>
      <c r="G20" s="19" t="n"/>
      <c r="H20">
        <f>IF(A20="","",IF(G20&lt;&gt;"","Paid",IF(TODAY()&gt;E20,"OVERDUE","Awaiting payment")))</f>
        <v/>
      </c>
      <c r="I20">
        <f>IF(H20="OVERDUE",TODAY()-E20,"")</f>
        <v/>
      </c>
    </row>
    <row r="21">
      <c r="A21" s="4" t="n"/>
      <c r="B21" s="4" t="n"/>
      <c r="C21" s="19" t="n"/>
      <c r="D21" s="4" t="n"/>
      <c r="E21" s="9">
        <f>IF(OR(C21="",D21=""),"",C21+D21)</f>
        <v/>
      </c>
      <c r="F21" s="12" t="n"/>
      <c r="G21" s="19" t="n"/>
      <c r="H21">
        <f>IF(A21="","",IF(G21&lt;&gt;"","Paid",IF(TODAY()&gt;E21,"OVERDUE","Awaiting payment")))</f>
        <v/>
      </c>
      <c r="I21">
        <f>IF(H21="OVERDUE",TODAY()-E21,"")</f>
        <v/>
      </c>
    </row>
    <row r="22">
      <c r="A22" s="4" t="n"/>
      <c r="B22" s="4" t="n"/>
      <c r="C22" s="19" t="n"/>
      <c r="D22" s="4" t="n"/>
      <c r="E22" s="9">
        <f>IF(OR(C22="",D22=""),"",C22+D22)</f>
        <v/>
      </c>
      <c r="F22" s="12" t="n"/>
      <c r="G22" s="19" t="n"/>
      <c r="H22">
        <f>IF(A22="","",IF(G22&lt;&gt;"","Paid",IF(TODAY()&gt;E22,"OVERDUE","Awaiting payment")))</f>
        <v/>
      </c>
      <c r="I22">
        <f>IF(H22="OVERDUE",TODAY()-E22,"")</f>
        <v/>
      </c>
    </row>
    <row r="23">
      <c r="A23" s="4" t="n"/>
      <c r="B23" s="4" t="n"/>
      <c r="C23" s="19" t="n"/>
      <c r="D23" s="4" t="n"/>
      <c r="E23" s="9">
        <f>IF(OR(C23="",D23=""),"",C23+D23)</f>
        <v/>
      </c>
      <c r="F23" s="12" t="n"/>
      <c r="G23" s="19" t="n"/>
      <c r="H23">
        <f>IF(A23="","",IF(G23&lt;&gt;"","Paid",IF(TODAY()&gt;E23,"OVERDUE","Awaiting payment")))</f>
        <v/>
      </c>
      <c r="I23">
        <f>IF(H23="OVERDUE",TODAY()-E23,"")</f>
        <v/>
      </c>
    </row>
    <row r="24">
      <c r="A24" s="4" t="n"/>
      <c r="B24" s="4" t="n"/>
      <c r="C24" s="19" t="n"/>
      <c r="D24" s="4" t="n"/>
      <c r="E24" s="9">
        <f>IF(OR(C24="",D24=""),"",C24+D24)</f>
        <v/>
      </c>
      <c r="F24" s="12" t="n"/>
      <c r="G24" s="19" t="n"/>
      <c r="H24">
        <f>IF(A24="","",IF(G24&lt;&gt;"","Paid",IF(TODAY()&gt;E24,"OVERDUE","Awaiting payment")))</f>
        <v/>
      </c>
      <c r="I24">
        <f>IF(H24="OVERDUE",TODAY()-E24,"")</f>
        <v/>
      </c>
    </row>
    <row r="25">
      <c r="A25" s="4" t="n"/>
      <c r="B25" s="4" t="n"/>
      <c r="C25" s="19" t="n"/>
      <c r="D25" s="4" t="n"/>
      <c r="E25" s="9">
        <f>IF(OR(C25="",D25=""),"",C25+D25)</f>
        <v/>
      </c>
      <c r="F25" s="12" t="n"/>
      <c r="G25" s="19" t="n"/>
      <c r="H25">
        <f>IF(A25="","",IF(G25&lt;&gt;"","Paid",IF(TODAY()&gt;E25,"OVERDUE","Awaiting payment")))</f>
        <v/>
      </c>
      <c r="I25">
        <f>IF(H25="OVERDUE",TODAY()-E25,"")</f>
        <v/>
      </c>
    </row>
    <row r="26">
      <c r="A26" s="4" t="n"/>
      <c r="B26" s="4" t="n"/>
      <c r="C26" s="19" t="n"/>
      <c r="D26" s="4" t="n"/>
      <c r="E26" s="9">
        <f>IF(OR(C26="",D26=""),"",C26+D26)</f>
        <v/>
      </c>
      <c r="F26" s="12" t="n"/>
      <c r="G26" s="19" t="n"/>
      <c r="H26">
        <f>IF(A26="","",IF(G26&lt;&gt;"","Paid",IF(TODAY()&gt;E26,"OVERDUE","Awaiting payment")))</f>
        <v/>
      </c>
      <c r="I26">
        <f>IF(H26="OVERDUE",TODAY()-E26,"")</f>
        <v/>
      </c>
    </row>
    <row r="27">
      <c r="A27" s="4" t="n"/>
      <c r="B27" s="4" t="n"/>
      <c r="C27" s="19" t="n"/>
      <c r="D27" s="4" t="n"/>
      <c r="E27" s="9">
        <f>IF(OR(C27="",D27=""),"",C27+D27)</f>
        <v/>
      </c>
      <c r="F27" s="12" t="n"/>
      <c r="G27" s="19" t="n"/>
      <c r="H27">
        <f>IF(A27="","",IF(G27&lt;&gt;"","Paid",IF(TODAY()&gt;E27,"OVERDUE","Awaiting payment")))</f>
        <v/>
      </c>
      <c r="I27">
        <f>IF(H27="OVERDUE",TODAY()-E27,"")</f>
        <v/>
      </c>
    </row>
    <row r="28">
      <c r="A28" s="4" t="n"/>
      <c r="B28" s="4" t="n"/>
      <c r="C28" s="19" t="n"/>
      <c r="D28" s="4" t="n"/>
      <c r="E28" s="9">
        <f>IF(OR(C28="",D28=""),"",C28+D28)</f>
        <v/>
      </c>
      <c r="F28" s="12" t="n"/>
      <c r="G28" s="19" t="n"/>
      <c r="H28">
        <f>IF(A28="","",IF(G28&lt;&gt;"","Paid",IF(TODAY()&gt;E28,"OVERDUE","Awaiting payment")))</f>
        <v/>
      </c>
      <c r="I28">
        <f>IF(H28="OVERDUE",TODAY()-E28,"")</f>
        <v/>
      </c>
    </row>
    <row r="29">
      <c r="A29" s="4" t="n"/>
      <c r="B29" s="4" t="n"/>
      <c r="C29" s="19" t="n"/>
      <c r="D29" s="4" t="n"/>
      <c r="E29" s="9">
        <f>IF(OR(C29="",D29=""),"",C29+D29)</f>
        <v/>
      </c>
      <c r="F29" s="12" t="n"/>
      <c r="G29" s="19" t="n"/>
      <c r="H29">
        <f>IF(A29="","",IF(G29&lt;&gt;"","Paid",IF(TODAY()&gt;E29,"OVERDUE","Awaiting payment")))</f>
        <v/>
      </c>
      <c r="I29">
        <f>IF(H29="OVERDUE",TODAY()-E29,"")</f>
        <v/>
      </c>
    </row>
    <row r="30">
      <c r="A30" s="4" t="n"/>
      <c r="B30" s="4" t="n"/>
      <c r="C30" s="19" t="n"/>
      <c r="D30" s="4" t="n"/>
      <c r="E30" s="9">
        <f>IF(OR(C30="",D30=""),"",C30+D30)</f>
        <v/>
      </c>
      <c r="F30" s="12" t="n"/>
      <c r="G30" s="19" t="n"/>
      <c r="H30">
        <f>IF(A30="","",IF(G30&lt;&gt;"","Paid",IF(TODAY()&gt;E30,"OVERDUE","Awaiting payment")))</f>
        <v/>
      </c>
      <c r="I30">
        <f>IF(H30="OVERDUE",TODAY()-E30,"")</f>
        <v/>
      </c>
    </row>
    <row r="31">
      <c r="A31" s="4" t="n"/>
      <c r="B31" s="4" t="n"/>
      <c r="C31" s="19" t="n"/>
      <c r="D31" s="4" t="n"/>
      <c r="E31" s="9">
        <f>IF(OR(C31="",D31=""),"",C31+D31)</f>
        <v/>
      </c>
      <c r="F31" s="12" t="n"/>
      <c r="G31" s="19" t="n"/>
      <c r="H31">
        <f>IF(A31="","",IF(G31&lt;&gt;"","Paid",IF(TODAY()&gt;E31,"OVERDUE","Awaiting payment")))</f>
        <v/>
      </c>
      <c r="I31">
        <f>IF(H31="OVERDUE",TODAY()-E31,"")</f>
        <v/>
      </c>
    </row>
    <row r="32">
      <c r="A32" s="4" t="n"/>
      <c r="B32" s="4" t="n"/>
      <c r="C32" s="19" t="n"/>
      <c r="D32" s="4" t="n"/>
      <c r="E32" s="9">
        <f>IF(OR(C32="",D32=""),"",C32+D32)</f>
        <v/>
      </c>
      <c r="F32" s="12" t="n"/>
      <c r="G32" s="19" t="n"/>
      <c r="H32">
        <f>IF(A32="","",IF(G32&lt;&gt;"","Paid",IF(TODAY()&gt;E32,"OVERDUE","Awaiting payment")))</f>
        <v/>
      </c>
      <c r="I32">
        <f>IF(H32="OVERDUE",TODAY()-E32,"")</f>
        <v/>
      </c>
    </row>
    <row r="33">
      <c r="A33" s="4" t="n"/>
      <c r="B33" s="4" t="n"/>
      <c r="C33" s="19" t="n"/>
      <c r="D33" s="4" t="n"/>
      <c r="E33" s="9">
        <f>IF(OR(C33="",D33=""),"",C33+D33)</f>
        <v/>
      </c>
      <c r="F33" s="12" t="n"/>
      <c r="G33" s="19" t="n"/>
      <c r="H33">
        <f>IF(A33="","",IF(G33&lt;&gt;"","Paid",IF(TODAY()&gt;E33,"OVERDUE","Awaiting payment")))</f>
        <v/>
      </c>
      <c r="I33">
        <f>IF(H33="OVERDUE",TODAY()-E33,"")</f>
        <v/>
      </c>
    </row>
    <row r="34">
      <c r="A34" s="4" t="n"/>
      <c r="B34" s="4" t="n"/>
      <c r="C34" s="19" t="n"/>
      <c r="D34" s="4" t="n"/>
      <c r="E34" s="9">
        <f>IF(OR(C34="",D34=""),"",C34+D34)</f>
        <v/>
      </c>
      <c r="F34" s="12" t="n"/>
      <c r="G34" s="19" t="n"/>
      <c r="H34">
        <f>IF(A34="","",IF(G34&lt;&gt;"","Paid",IF(TODAY()&gt;E34,"OVERDUE","Awaiting payment")))</f>
        <v/>
      </c>
      <c r="I34">
        <f>IF(H34="OVERDUE",TODAY()-E34,"")</f>
        <v/>
      </c>
    </row>
    <row r="35">
      <c r="A35" s="4" t="n"/>
      <c r="B35" s="4" t="n"/>
      <c r="C35" s="19" t="n"/>
      <c r="D35" s="4" t="n"/>
      <c r="E35" s="9">
        <f>IF(OR(C35="",D35=""),"",C35+D35)</f>
        <v/>
      </c>
      <c r="F35" s="12" t="n"/>
      <c r="G35" s="19" t="n"/>
      <c r="H35">
        <f>IF(A35="","",IF(G35&lt;&gt;"","Paid",IF(TODAY()&gt;E35,"OVERDUE","Awaiting payment")))</f>
        <v/>
      </c>
      <c r="I35">
        <f>IF(H35="OVERDUE",TODAY()-E35,"")</f>
        <v/>
      </c>
    </row>
    <row r="36">
      <c r="A36" s="4" t="n"/>
      <c r="B36" s="4" t="n"/>
      <c r="C36" s="19" t="n"/>
      <c r="D36" s="4" t="n"/>
      <c r="E36" s="9">
        <f>IF(OR(C36="",D36=""),"",C36+D36)</f>
        <v/>
      </c>
      <c r="F36" s="12" t="n"/>
      <c r="G36" s="19" t="n"/>
      <c r="H36">
        <f>IF(A36="","",IF(G36&lt;&gt;"","Paid",IF(TODAY()&gt;E36,"OVERDUE","Awaiting payment")))</f>
        <v/>
      </c>
      <c r="I36">
        <f>IF(H36="OVERDUE",TODAY()-E36,"")</f>
        <v/>
      </c>
    </row>
    <row r="37">
      <c r="A37" s="4" t="n"/>
      <c r="B37" s="4" t="n"/>
      <c r="C37" s="19" t="n"/>
      <c r="D37" s="4" t="n"/>
      <c r="E37" s="9">
        <f>IF(OR(C37="",D37=""),"",C37+D37)</f>
        <v/>
      </c>
      <c r="F37" s="12" t="n"/>
      <c r="G37" s="19" t="n"/>
      <c r="H37">
        <f>IF(A37="","",IF(G37&lt;&gt;"","Paid",IF(TODAY()&gt;E37,"OVERDUE","Awaiting payment")))</f>
        <v/>
      </c>
      <c r="I37">
        <f>IF(H37="OVERDUE",TODAY()-E37,"")</f>
        <v/>
      </c>
    </row>
    <row r="38">
      <c r="A38" s="4" t="n"/>
      <c r="B38" s="4" t="n"/>
      <c r="C38" s="19" t="n"/>
      <c r="D38" s="4" t="n"/>
      <c r="E38" s="9">
        <f>IF(OR(C38="",D38=""),"",C38+D38)</f>
        <v/>
      </c>
      <c r="F38" s="12" t="n"/>
      <c r="G38" s="19" t="n"/>
      <c r="H38">
        <f>IF(A38="","",IF(G38&lt;&gt;"","Paid",IF(TODAY()&gt;E38,"OVERDUE","Awaiting payment")))</f>
        <v/>
      </c>
      <c r="I38">
        <f>IF(H38="OVERDUE",TODAY()-E38,"")</f>
        <v/>
      </c>
    </row>
    <row r="39">
      <c r="A39" s="4" t="n"/>
      <c r="B39" s="4" t="n"/>
      <c r="C39" s="19" t="n"/>
      <c r="D39" s="4" t="n"/>
      <c r="E39" s="9">
        <f>IF(OR(C39="",D39=""),"",C39+D39)</f>
        <v/>
      </c>
      <c r="F39" s="12" t="n"/>
      <c r="G39" s="19" t="n"/>
      <c r="H39">
        <f>IF(A39="","",IF(G39&lt;&gt;"","Paid",IF(TODAY()&gt;E39,"OVERDUE","Awaiting payment")))</f>
        <v/>
      </c>
      <c r="I39">
        <f>IF(H39="OVERDUE",TODAY()-E39,"")</f>
        <v/>
      </c>
    </row>
    <row r="40">
      <c r="A40" s="4" t="n"/>
      <c r="B40" s="4" t="n"/>
      <c r="C40" s="19" t="n"/>
      <c r="D40" s="4" t="n"/>
      <c r="E40" s="9">
        <f>IF(OR(C40="",D40=""),"",C40+D40)</f>
        <v/>
      </c>
      <c r="F40" s="12" t="n"/>
      <c r="G40" s="19" t="n"/>
      <c r="H40">
        <f>IF(A40="","",IF(G40&lt;&gt;"","Paid",IF(TODAY()&gt;E40,"OVERDUE","Awaiting payment")))</f>
        <v/>
      </c>
      <c r="I40">
        <f>IF(H40="OVERDUE",TODAY()-E40,"")</f>
        <v/>
      </c>
    </row>
    <row r="41">
      <c r="A41" s="4" t="n"/>
      <c r="B41" s="4" t="n"/>
      <c r="C41" s="19" t="n"/>
      <c r="D41" s="4" t="n"/>
      <c r="E41" s="9">
        <f>IF(OR(C41="",D41=""),"",C41+D41)</f>
        <v/>
      </c>
      <c r="F41" s="12" t="n"/>
      <c r="G41" s="19" t="n"/>
      <c r="H41">
        <f>IF(A41="","",IF(G41&lt;&gt;"","Paid",IF(TODAY()&gt;E41,"OVERDUE","Awaiting payment")))</f>
        <v/>
      </c>
      <c r="I41">
        <f>IF(H41="OVERDUE",TODAY()-E41,"")</f>
        <v/>
      </c>
    </row>
    <row r="42">
      <c r="A42" s="4" t="n"/>
      <c r="B42" s="4" t="n"/>
      <c r="C42" s="19" t="n"/>
      <c r="D42" s="4" t="n"/>
      <c r="E42" s="9">
        <f>IF(OR(C42="",D42=""),"",C42+D42)</f>
        <v/>
      </c>
      <c r="F42" s="12" t="n"/>
      <c r="G42" s="19" t="n"/>
      <c r="H42">
        <f>IF(A42="","",IF(G42&lt;&gt;"","Paid",IF(TODAY()&gt;E42,"OVERDUE","Awaiting payment")))</f>
        <v/>
      </c>
      <c r="I42">
        <f>IF(H42="OVERDUE",TODAY()-E42,"")</f>
        <v/>
      </c>
    </row>
    <row r="43">
      <c r="A43" s="4" t="n"/>
      <c r="B43" s="4" t="n"/>
      <c r="C43" s="19" t="n"/>
      <c r="D43" s="4" t="n"/>
      <c r="E43" s="9">
        <f>IF(OR(C43="",D43=""),"",C43+D43)</f>
        <v/>
      </c>
      <c r="F43" s="12" t="n"/>
      <c r="G43" s="19" t="n"/>
      <c r="H43">
        <f>IF(A43="","",IF(G43&lt;&gt;"","Paid",IF(TODAY()&gt;E43,"OVERDUE","Awaiting payment")))</f>
        <v/>
      </c>
      <c r="I43">
        <f>IF(H43="OVERDUE",TODAY()-E43,"")</f>
        <v/>
      </c>
    </row>
    <row r="44">
      <c r="A44" s="4" t="n"/>
      <c r="B44" s="4" t="n"/>
      <c r="C44" s="19" t="n"/>
      <c r="D44" s="4" t="n"/>
      <c r="E44" s="9">
        <f>IF(OR(C44="",D44=""),"",C44+D44)</f>
        <v/>
      </c>
      <c r="F44" s="12" t="n"/>
      <c r="G44" s="19" t="n"/>
      <c r="H44">
        <f>IF(A44="","",IF(G44&lt;&gt;"","Paid",IF(TODAY()&gt;E44,"OVERDUE","Awaiting payment")))</f>
        <v/>
      </c>
      <c r="I44">
        <f>IF(H44="OVERDUE",TODAY()-E44,"")</f>
        <v/>
      </c>
    </row>
    <row r="45">
      <c r="A45" s="4" t="n"/>
      <c r="B45" s="4" t="n"/>
      <c r="C45" s="19" t="n"/>
      <c r="D45" s="4" t="n"/>
      <c r="E45" s="9">
        <f>IF(OR(C45="",D45=""),"",C45+D45)</f>
        <v/>
      </c>
      <c r="F45" s="12" t="n"/>
      <c r="G45" s="19" t="n"/>
      <c r="H45">
        <f>IF(A45="","",IF(G45&lt;&gt;"","Paid",IF(TODAY()&gt;E45,"OVERDUE","Awaiting payment")))</f>
        <v/>
      </c>
      <c r="I45">
        <f>IF(H45="OVERDUE",TODAY()-E45,"")</f>
        <v/>
      </c>
    </row>
    <row r="46">
      <c r="A46" s="4" t="n"/>
      <c r="B46" s="4" t="n"/>
      <c r="C46" s="19" t="n"/>
      <c r="D46" s="4" t="n"/>
      <c r="E46" s="9">
        <f>IF(OR(C46="",D46=""),"",C46+D46)</f>
        <v/>
      </c>
      <c r="F46" s="12" t="n"/>
      <c r="G46" s="19" t="n"/>
      <c r="H46">
        <f>IF(A46="","",IF(G46&lt;&gt;"","Paid",IF(TODAY()&gt;E46,"OVERDUE","Awaiting payment")))</f>
        <v/>
      </c>
      <c r="I46">
        <f>IF(H46="OVERDUE",TODAY()-E46,"")</f>
        <v/>
      </c>
    </row>
    <row r="47">
      <c r="A47" s="4" t="n"/>
      <c r="B47" s="4" t="n"/>
      <c r="C47" s="19" t="n"/>
      <c r="D47" s="4" t="n"/>
      <c r="E47" s="9">
        <f>IF(OR(C47="",D47=""),"",C47+D47)</f>
        <v/>
      </c>
      <c r="F47" s="12" t="n"/>
      <c r="G47" s="19" t="n"/>
      <c r="H47">
        <f>IF(A47="","",IF(G47&lt;&gt;"","Paid",IF(TODAY()&gt;E47,"OVERDUE","Awaiting payment")))</f>
        <v/>
      </c>
      <c r="I47">
        <f>IF(H47="OVERDUE",TODAY()-E47,"")</f>
        <v/>
      </c>
    </row>
    <row r="48">
      <c r="A48" s="4" t="n"/>
      <c r="B48" s="4" t="n"/>
      <c r="C48" s="19" t="n"/>
      <c r="D48" s="4" t="n"/>
      <c r="E48" s="9">
        <f>IF(OR(C48="",D48=""),"",C48+D48)</f>
        <v/>
      </c>
      <c r="F48" s="12" t="n"/>
      <c r="G48" s="19" t="n"/>
      <c r="H48">
        <f>IF(A48="","",IF(G48&lt;&gt;"","Paid",IF(TODAY()&gt;E48,"OVERDUE","Awaiting payment")))</f>
        <v/>
      </c>
      <c r="I48">
        <f>IF(H48="OVERDUE",TODAY()-E48,"")</f>
        <v/>
      </c>
    </row>
    <row r="49">
      <c r="A49" s="4" t="n"/>
      <c r="B49" s="4" t="n"/>
      <c r="C49" s="19" t="n"/>
      <c r="D49" s="4" t="n"/>
      <c r="E49" s="9">
        <f>IF(OR(C49="",D49=""),"",C49+D49)</f>
        <v/>
      </c>
      <c r="F49" s="12" t="n"/>
      <c r="G49" s="19" t="n"/>
      <c r="H49">
        <f>IF(A49="","",IF(G49&lt;&gt;"","Paid",IF(TODAY()&gt;E49,"OVERDUE","Awaiting payment")))</f>
        <v/>
      </c>
      <c r="I49">
        <f>IF(H49="OVERDUE",TODAY()-E49,"")</f>
        <v/>
      </c>
    </row>
    <row r="50">
      <c r="A50" s="4" t="n"/>
      <c r="B50" s="4" t="n"/>
      <c r="C50" s="19" t="n"/>
      <c r="D50" s="4" t="n"/>
      <c r="E50" s="9">
        <f>IF(OR(C50="",D50=""),"",C50+D50)</f>
        <v/>
      </c>
      <c r="F50" s="12" t="n"/>
      <c r="G50" s="19" t="n"/>
      <c r="H50">
        <f>IF(A50="","",IF(G50&lt;&gt;"","Paid",IF(TODAY()&gt;E50,"OVERDUE","Awaiting payment")))</f>
        <v/>
      </c>
      <c r="I50">
        <f>IF(H50="OVERDUE",TODAY()-E50,"")</f>
        <v/>
      </c>
    </row>
    <row r="51">
      <c r="A51" s="4" t="n"/>
      <c r="B51" s="4" t="n"/>
      <c r="C51" s="19" t="n"/>
      <c r="D51" s="4" t="n"/>
      <c r="E51" s="9">
        <f>IF(OR(C51="",D51=""),"",C51+D51)</f>
        <v/>
      </c>
      <c r="F51" s="12" t="n"/>
      <c r="G51" s="19" t="n"/>
      <c r="H51">
        <f>IF(A51="","",IF(G51&lt;&gt;"","Paid",IF(TODAY()&gt;E51,"OVERDUE","Awaiting payment")))</f>
        <v/>
      </c>
      <c r="I51">
        <f>IF(H51="OVERDUE",TODAY()-E51,"")</f>
        <v/>
      </c>
    </row>
    <row r="52">
      <c r="A52" s="4" t="n"/>
      <c r="B52" s="4" t="n"/>
      <c r="C52" s="19" t="n"/>
      <c r="D52" s="4" t="n"/>
      <c r="E52" s="9">
        <f>IF(OR(C52="",D52=""),"",C52+D52)</f>
        <v/>
      </c>
      <c r="F52" s="12" t="n"/>
      <c r="G52" s="19" t="n"/>
      <c r="H52">
        <f>IF(A52="","",IF(G52&lt;&gt;"","Paid",IF(TODAY()&gt;E52,"OVERDUE","Awaiting payment")))</f>
        <v/>
      </c>
      <c r="I52">
        <f>IF(H52="OVERDUE",TODAY()-E52,"")</f>
        <v/>
      </c>
    </row>
    <row r="53">
      <c r="A53" s="4" t="n"/>
      <c r="B53" s="4" t="n"/>
      <c r="C53" s="19" t="n"/>
      <c r="D53" s="4" t="n"/>
      <c r="E53" s="9">
        <f>IF(OR(C53="",D53=""),"",C53+D53)</f>
        <v/>
      </c>
      <c r="F53" s="12" t="n"/>
      <c r="G53" s="19" t="n"/>
      <c r="H53">
        <f>IF(A53="","",IF(G53&lt;&gt;"","Paid",IF(TODAY()&gt;E53,"OVERDUE","Awaiting payment")))</f>
        <v/>
      </c>
      <c r="I53">
        <f>IF(H53="OVERDUE",TODAY()-E53,"")</f>
        <v/>
      </c>
    </row>
    <row r="54">
      <c r="A54" s="4" t="n"/>
      <c r="B54" s="4" t="n"/>
      <c r="C54" s="19" t="n"/>
      <c r="D54" s="4" t="n"/>
      <c r="E54" s="9">
        <f>IF(OR(C54="",D54=""),"",C54+D54)</f>
        <v/>
      </c>
      <c r="F54" s="12" t="n"/>
      <c r="G54" s="19" t="n"/>
      <c r="H54">
        <f>IF(A54="","",IF(G54&lt;&gt;"","Paid",IF(TODAY()&gt;E54,"OVERDUE","Awaiting payment")))</f>
        <v/>
      </c>
      <c r="I54">
        <f>IF(H54="OVERDUE",TODAY()-E54,"")</f>
        <v/>
      </c>
    </row>
    <row r="55">
      <c r="A55" s="4" t="n"/>
      <c r="B55" s="4" t="n"/>
      <c r="C55" s="19" t="n"/>
      <c r="D55" s="4" t="n"/>
      <c r="E55" s="9">
        <f>IF(OR(C55="",D55=""),"",C55+D55)</f>
        <v/>
      </c>
      <c r="F55" s="12" t="n"/>
      <c r="G55" s="19" t="n"/>
      <c r="H55">
        <f>IF(A55="","",IF(G55&lt;&gt;"","Paid",IF(TODAY()&gt;E55,"OVERDUE","Awaiting payment")))</f>
        <v/>
      </c>
      <c r="I55">
        <f>IF(H55="OVERDUE",TODAY()-E55,"")</f>
        <v/>
      </c>
    </row>
    <row r="56">
      <c r="A56" s="4" t="n"/>
      <c r="B56" s="4" t="n"/>
      <c r="C56" s="19" t="n"/>
      <c r="D56" s="4" t="n"/>
      <c r="E56" s="9">
        <f>IF(OR(C56="",D56=""),"",C56+D56)</f>
        <v/>
      </c>
      <c r="F56" s="12" t="n"/>
      <c r="G56" s="19" t="n"/>
      <c r="H56">
        <f>IF(A56="","",IF(G56&lt;&gt;"","Paid",IF(TODAY()&gt;E56,"OVERDUE","Awaiting payment")))</f>
        <v/>
      </c>
      <c r="I56">
        <f>IF(H56="OVERDUE",TODAY()-E56,"")</f>
        <v/>
      </c>
    </row>
    <row r="57">
      <c r="A57" s="4" t="n"/>
      <c r="B57" s="4" t="n"/>
      <c r="C57" s="19" t="n"/>
      <c r="D57" s="4" t="n"/>
      <c r="E57" s="9">
        <f>IF(OR(C57="",D57=""),"",C57+D57)</f>
        <v/>
      </c>
      <c r="F57" s="12" t="n"/>
      <c r="G57" s="19" t="n"/>
      <c r="H57">
        <f>IF(A57="","",IF(G57&lt;&gt;"","Paid",IF(TODAY()&gt;E57,"OVERDUE","Awaiting payment")))</f>
        <v/>
      </c>
      <c r="I57">
        <f>IF(H57="OVERDUE",TODAY()-E57,"")</f>
        <v/>
      </c>
    </row>
    <row r="58">
      <c r="A58" s="4" t="n"/>
      <c r="B58" s="4" t="n"/>
      <c r="C58" s="19" t="n"/>
      <c r="D58" s="4" t="n"/>
      <c r="E58" s="9">
        <f>IF(OR(C58="",D58=""),"",C58+D58)</f>
        <v/>
      </c>
      <c r="F58" s="12" t="n"/>
      <c r="G58" s="19" t="n"/>
      <c r="H58">
        <f>IF(A58="","",IF(G58&lt;&gt;"","Paid",IF(TODAY()&gt;E58,"OVERDUE","Awaiting payment")))</f>
        <v/>
      </c>
      <c r="I58">
        <f>IF(H58="OVERDUE",TODAY()-E58,"")</f>
        <v/>
      </c>
    </row>
    <row r="59">
      <c r="A59" s="4" t="n"/>
      <c r="B59" s="4" t="n"/>
      <c r="C59" s="19" t="n"/>
      <c r="D59" s="4" t="n"/>
      <c r="E59" s="9">
        <f>IF(OR(C59="",D59=""),"",C59+D59)</f>
        <v/>
      </c>
      <c r="F59" s="12" t="n"/>
      <c r="G59" s="19" t="n"/>
      <c r="H59">
        <f>IF(A59="","",IF(G59&lt;&gt;"","Paid",IF(TODAY()&gt;E59,"OVERDUE","Awaiting payment")))</f>
        <v/>
      </c>
      <c r="I59">
        <f>IF(H59="OVERDUE",TODAY()-E59,"")</f>
        <v/>
      </c>
    </row>
    <row r="60">
      <c r="A60" s="4" t="n"/>
      <c r="B60" s="4" t="n"/>
      <c r="C60" s="19" t="n"/>
      <c r="D60" s="4" t="n"/>
      <c r="E60" s="9">
        <f>IF(OR(C60="",D60=""),"",C60+D60)</f>
        <v/>
      </c>
      <c r="F60" s="12" t="n"/>
      <c r="G60" s="19" t="n"/>
      <c r="H60">
        <f>IF(A60="","",IF(G60&lt;&gt;"","Paid",IF(TODAY()&gt;E60,"OVERDUE","Awaiting payment")))</f>
        <v/>
      </c>
      <c r="I60">
        <f>IF(H60="OVERDUE",TODAY()-E60,"")</f>
        <v/>
      </c>
    </row>
    <row r="61">
      <c r="A61" s="4" t="n"/>
      <c r="B61" s="4" t="n"/>
      <c r="C61" s="19" t="n"/>
      <c r="D61" s="4" t="n"/>
      <c r="E61" s="9">
        <f>IF(OR(C61="",D61=""),"",C61+D61)</f>
        <v/>
      </c>
      <c r="F61" s="12" t="n"/>
      <c r="G61" s="19" t="n"/>
      <c r="H61">
        <f>IF(A61="","",IF(G61&lt;&gt;"","Paid",IF(TODAY()&gt;E61,"OVERDUE","Awaiting payment")))</f>
        <v/>
      </c>
      <c r="I61">
        <f>IF(H61="OVERDUE",TODAY()-E61,"")</f>
        <v/>
      </c>
    </row>
    <row r="62">
      <c r="A62" s="4" t="n"/>
      <c r="B62" s="4" t="n"/>
      <c r="C62" s="19" t="n"/>
      <c r="D62" s="4" t="n"/>
      <c r="E62" s="9">
        <f>IF(OR(C62="",D62=""),"",C62+D62)</f>
        <v/>
      </c>
      <c r="F62" s="12" t="n"/>
      <c r="G62" s="19" t="n"/>
      <c r="H62">
        <f>IF(A62="","",IF(G62&lt;&gt;"","Paid",IF(TODAY()&gt;E62,"OVERDUE","Awaiting payment")))</f>
        <v/>
      </c>
      <c r="I62">
        <f>IF(H62="OVERDUE",TODAY()-E62,"")</f>
        <v/>
      </c>
    </row>
    <row r="63">
      <c r="A63" s="4" t="n"/>
      <c r="B63" s="4" t="n"/>
      <c r="C63" s="19" t="n"/>
      <c r="D63" s="4" t="n"/>
      <c r="E63" s="9">
        <f>IF(OR(C63="",D63=""),"",C63+D63)</f>
        <v/>
      </c>
      <c r="F63" s="12" t="n"/>
      <c r="G63" s="19" t="n"/>
      <c r="H63">
        <f>IF(A63="","",IF(G63&lt;&gt;"","Paid",IF(TODAY()&gt;E63,"OVERDUE","Awaiting payment")))</f>
        <v/>
      </c>
      <c r="I63">
        <f>IF(H63="OVERDUE",TODAY()-E63,"")</f>
        <v/>
      </c>
    </row>
    <row r="64">
      <c r="A64" s="4" t="n"/>
      <c r="B64" s="4" t="n"/>
      <c r="C64" s="19" t="n"/>
      <c r="D64" s="4" t="n"/>
      <c r="E64" s="9">
        <f>IF(OR(C64="",D64=""),"",C64+D64)</f>
        <v/>
      </c>
      <c r="F64" s="12" t="n"/>
      <c r="G64" s="19" t="n"/>
      <c r="H64">
        <f>IF(A64="","",IF(G64&lt;&gt;"","Paid",IF(TODAY()&gt;E64,"OVERDUE","Awaiting payment")))</f>
        <v/>
      </c>
      <c r="I64">
        <f>IF(H64="OVERDUE",TODAY()-E64,"")</f>
        <v/>
      </c>
    </row>
    <row r="65">
      <c r="A65" s="4" t="n"/>
      <c r="B65" s="4" t="n"/>
      <c r="C65" s="19" t="n"/>
      <c r="D65" s="4" t="n"/>
      <c r="E65" s="9">
        <f>IF(OR(C65="",D65=""),"",C65+D65)</f>
        <v/>
      </c>
      <c r="F65" s="12" t="n"/>
      <c r="G65" s="19" t="n"/>
      <c r="H65">
        <f>IF(A65="","",IF(G65&lt;&gt;"","Paid",IF(TODAY()&gt;E65,"OVERDUE","Awaiting payment")))</f>
        <v/>
      </c>
      <c r="I65">
        <f>IF(H65="OVERDUE",TODAY()-E65,"")</f>
        <v/>
      </c>
    </row>
    <row r="66">
      <c r="A66" s="4" t="n"/>
      <c r="B66" s="4" t="n"/>
      <c r="C66" s="19" t="n"/>
      <c r="D66" s="4" t="n"/>
      <c r="E66" s="9">
        <f>IF(OR(C66="",D66=""),"",C66+D66)</f>
        <v/>
      </c>
      <c r="F66" s="12" t="n"/>
      <c r="G66" s="19" t="n"/>
      <c r="H66">
        <f>IF(A66="","",IF(G66&lt;&gt;"","Paid",IF(TODAY()&gt;E66,"OVERDUE","Awaiting payment")))</f>
        <v/>
      </c>
      <c r="I66">
        <f>IF(H66="OVERDUE",TODAY()-E66,"")</f>
        <v/>
      </c>
    </row>
    <row r="67">
      <c r="A67" s="4" t="n"/>
      <c r="B67" s="4" t="n"/>
      <c r="C67" s="19" t="n"/>
      <c r="D67" s="4" t="n"/>
      <c r="E67" s="9">
        <f>IF(OR(C67="",D67=""),"",C67+D67)</f>
        <v/>
      </c>
      <c r="F67" s="12" t="n"/>
      <c r="G67" s="19" t="n"/>
      <c r="H67">
        <f>IF(A67="","",IF(G67&lt;&gt;"","Paid",IF(TODAY()&gt;E67,"OVERDUE","Awaiting payment")))</f>
        <v/>
      </c>
      <c r="I67">
        <f>IF(H67="OVERDUE",TODAY()-E67,"")</f>
        <v/>
      </c>
    </row>
    <row r="68">
      <c r="A68" s="4" t="n"/>
      <c r="B68" s="4" t="n"/>
      <c r="C68" s="19" t="n"/>
      <c r="D68" s="4" t="n"/>
      <c r="E68" s="9">
        <f>IF(OR(C68="",D68=""),"",C68+D68)</f>
        <v/>
      </c>
      <c r="F68" s="12" t="n"/>
      <c r="G68" s="19" t="n"/>
      <c r="H68">
        <f>IF(A68="","",IF(G68&lt;&gt;"","Paid",IF(TODAY()&gt;E68,"OVERDUE","Awaiting payment")))</f>
        <v/>
      </c>
      <c r="I68">
        <f>IF(H68="OVERDUE",TODAY()-E68,"")</f>
        <v/>
      </c>
    </row>
    <row r="69">
      <c r="A69" s="4" t="n"/>
      <c r="B69" s="4" t="n"/>
      <c r="C69" s="19" t="n"/>
      <c r="D69" s="4" t="n"/>
      <c r="E69" s="9">
        <f>IF(OR(C69="",D69=""),"",C69+D69)</f>
        <v/>
      </c>
      <c r="F69" s="12" t="n"/>
      <c r="G69" s="19" t="n"/>
      <c r="H69">
        <f>IF(A69="","",IF(G69&lt;&gt;"","Paid",IF(TODAY()&gt;E69,"OVERDUE","Awaiting payment")))</f>
        <v/>
      </c>
      <c r="I69">
        <f>IF(H69="OVERDUE",TODAY()-E69,"")</f>
        <v/>
      </c>
    </row>
    <row r="70">
      <c r="A70" s="4" t="n"/>
      <c r="B70" s="4" t="n"/>
      <c r="C70" s="19" t="n"/>
      <c r="D70" s="4" t="n"/>
      <c r="E70" s="9">
        <f>IF(OR(C70="",D70=""),"",C70+D70)</f>
        <v/>
      </c>
      <c r="F70" s="12" t="n"/>
      <c r="G70" s="19" t="n"/>
      <c r="H70">
        <f>IF(A70="","",IF(G70&lt;&gt;"","Paid",IF(TODAY()&gt;E70,"OVERDUE","Awaiting payment")))</f>
        <v/>
      </c>
      <c r="I70">
        <f>IF(H70="OVERDUE",TODAY()-E70,"")</f>
        <v/>
      </c>
    </row>
    <row r="71">
      <c r="A71" s="4" t="n"/>
      <c r="B71" s="4" t="n"/>
      <c r="C71" s="19" t="n"/>
      <c r="D71" s="4" t="n"/>
      <c r="E71" s="9">
        <f>IF(OR(C71="",D71=""),"",C71+D71)</f>
        <v/>
      </c>
      <c r="F71" s="12" t="n"/>
      <c r="G71" s="19" t="n"/>
      <c r="H71">
        <f>IF(A71="","",IF(G71&lt;&gt;"","Paid",IF(TODAY()&gt;E71,"OVERDUE","Awaiting payment")))</f>
        <v/>
      </c>
      <c r="I71">
        <f>IF(H71="OVERDUE",TODAY()-E71,"")</f>
        <v/>
      </c>
    </row>
    <row r="72">
      <c r="A72" s="4" t="n"/>
      <c r="B72" s="4" t="n"/>
      <c r="C72" s="19" t="n"/>
      <c r="D72" s="4" t="n"/>
      <c r="E72" s="9">
        <f>IF(OR(C72="",D72=""),"",C72+D72)</f>
        <v/>
      </c>
      <c r="F72" s="12" t="n"/>
      <c r="G72" s="19" t="n"/>
      <c r="H72">
        <f>IF(A72="","",IF(G72&lt;&gt;"","Paid",IF(TODAY()&gt;E72,"OVERDUE","Awaiting payment")))</f>
        <v/>
      </c>
      <c r="I72">
        <f>IF(H72="OVERDUE",TODAY()-E72,"")</f>
        <v/>
      </c>
    </row>
    <row r="73">
      <c r="A73" s="4" t="n"/>
      <c r="B73" s="4" t="n"/>
      <c r="C73" s="19" t="n"/>
      <c r="D73" s="4" t="n"/>
      <c r="E73" s="9">
        <f>IF(OR(C73="",D73=""),"",C73+D73)</f>
        <v/>
      </c>
      <c r="F73" s="12" t="n"/>
      <c r="G73" s="19" t="n"/>
      <c r="H73">
        <f>IF(A73="","",IF(G73&lt;&gt;"","Paid",IF(TODAY()&gt;E73,"OVERDUE","Awaiting payment")))</f>
        <v/>
      </c>
      <c r="I73">
        <f>IF(H73="OVERDUE",TODAY()-E73,"")</f>
        <v/>
      </c>
    </row>
    <row r="74">
      <c r="A74" s="4" t="n"/>
      <c r="B74" s="4" t="n"/>
      <c r="C74" s="19" t="n"/>
      <c r="D74" s="4" t="n"/>
      <c r="E74" s="9">
        <f>IF(OR(C74="",D74=""),"",C74+D74)</f>
        <v/>
      </c>
      <c r="F74" s="12" t="n"/>
      <c r="G74" s="19" t="n"/>
      <c r="H74">
        <f>IF(A74="","",IF(G74&lt;&gt;"","Paid",IF(TODAY()&gt;E74,"OVERDUE","Awaiting payment")))</f>
        <v/>
      </c>
      <c r="I74">
        <f>IF(H74="OVERDUE",TODAY()-E74,"")</f>
        <v/>
      </c>
    </row>
    <row r="75">
      <c r="A75" s="4" t="n"/>
      <c r="B75" s="4" t="n"/>
      <c r="C75" s="19" t="n"/>
      <c r="D75" s="4" t="n"/>
      <c r="E75" s="9">
        <f>IF(OR(C75="",D75=""),"",C75+D75)</f>
        <v/>
      </c>
      <c r="F75" s="12" t="n"/>
      <c r="G75" s="19" t="n"/>
      <c r="H75">
        <f>IF(A75="","",IF(G75&lt;&gt;"","Paid",IF(TODAY()&gt;E75,"OVERDUE","Awaiting payment")))</f>
        <v/>
      </c>
      <c r="I75">
        <f>IF(H75="OVERDUE",TODAY()-E75,"")</f>
        <v/>
      </c>
    </row>
    <row r="76">
      <c r="A76" s="4" t="n"/>
      <c r="B76" s="4" t="n"/>
      <c r="C76" s="19" t="n"/>
      <c r="D76" s="4" t="n"/>
      <c r="E76" s="9">
        <f>IF(OR(C76="",D76=""),"",C76+D76)</f>
        <v/>
      </c>
      <c r="F76" s="12" t="n"/>
      <c r="G76" s="19" t="n"/>
      <c r="H76">
        <f>IF(A76="","",IF(G76&lt;&gt;"","Paid",IF(TODAY()&gt;E76,"OVERDUE","Awaiting payment")))</f>
        <v/>
      </c>
      <c r="I76">
        <f>IF(H76="OVERDUE",TODAY()-E76,"")</f>
        <v/>
      </c>
    </row>
    <row r="77">
      <c r="A77" s="4" t="n"/>
      <c r="B77" s="4" t="n"/>
      <c r="C77" s="19" t="n"/>
      <c r="D77" s="4" t="n"/>
      <c r="E77" s="9">
        <f>IF(OR(C77="",D77=""),"",C77+D77)</f>
        <v/>
      </c>
      <c r="F77" s="12" t="n"/>
      <c r="G77" s="19" t="n"/>
      <c r="H77">
        <f>IF(A77="","",IF(G77&lt;&gt;"","Paid",IF(TODAY()&gt;E77,"OVERDUE","Awaiting payment")))</f>
        <v/>
      </c>
      <c r="I77">
        <f>IF(H77="OVERDUE",TODAY()-E77,"")</f>
        <v/>
      </c>
    </row>
    <row r="78">
      <c r="A78" s="4" t="n"/>
      <c r="B78" s="4" t="n"/>
      <c r="C78" s="19" t="n"/>
      <c r="D78" s="4" t="n"/>
      <c r="E78" s="9">
        <f>IF(OR(C78="",D78=""),"",C78+D78)</f>
        <v/>
      </c>
      <c r="F78" s="12" t="n"/>
      <c r="G78" s="19" t="n"/>
      <c r="H78">
        <f>IF(A78="","",IF(G78&lt;&gt;"","Paid",IF(TODAY()&gt;E78,"OVERDUE","Awaiting payment")))</f>
        <v/>
      </c>
      <c r="I78">
        <f>IF(H78="OVERDUE",TODAY()-E78,"")</f>
        <v/>
      </c>
    </row>
    <row r="79">
      <c r="A79" s="4" t="n"/>
      <c r="B79" s="4" t="n"/>
      <c r="C79" s="19" t="n"/>
      <c r="D79" s="4" t="n"/>
      <c r="E79" s="9">
        <f>IF(OR(C79="",D79=""),"",C79+D79)</f>
        <v/>
      </c>
      <c r="F79" s="12" t="n"/>
      <c r="G79" s="19" t="n"/>
      <c r="H79">
        <f>IF(A79="","",IF(G79&lt;&gt;"","Paid",IF(TODAY()&gt;E79,"OVERDUE","Awaiting payment")))</f>
        <v/>
      </c>
      <c r="I79">
        <f>IF(H79="OVERDUE",TODAY()-E79,"")</f>
        <v/>
      </c>
    </row>
    <row r="80">
      <c r="A80" s="4" t="n"/>
      <c r="B80" s="4" t="n"/>
      <c r="C80" s="19" t="n"/>
      <c r="D80" s="4" t="n"/>
      <c r="E80" s="9">
        <f>IF(OR(C80="",D80=""),"",C80+D80)</f>
        <v/>
      </c>
      <c r="F80" s="12" t="n"/>
      <c r="G80" s="19" t="n"/>
      <c r="H80">
        <f>IF(A80="","",IF(G80&lt;&gt;"","Paid",IF(TODAY()&gt;E80,"OVERDUE","Awaiting payment")))</f>
        <v/>
      </c>
      <c r="I80">
        <f>IF(H80="OVERDUE",TODAY()-E80,"")</f>
        <v/>
      </c>
    </row>
    <row r="81">
      <c r="A81" s="4" t="n"/>
      <c r="B81" s="4" t="n"/>
      <c r="C81" s="19" t="n"/>
      <c r="D81" s="4" t="n"/>
      <c r="E81" s="9">
        <f>IF(OR(C81="",D81=""),"",C81+D81)</f>
        <v/>
      </c>
      <c r="F81" s="12" t="n"/>
      <c r="G81" s="19" t="n"/>
      <c r="H81">
        <f>IF(A81="","",IF(G81&lt;&gt;"","Paid",IF(TODAY()&gt;E81,"OVERDUE","Awaiting payment")))</f>
        <v/>
      </c>
      <c r="I81">
        <f>IF(H81="OVERDUE",TODAY()-E81,"")</f>
        <v/>
      </c>
    </row>
    <row r="82">
      <c r="A82" s="4" t="n"/>
      <c r="B82" s="4" t="n"/>
      <c r="C82" s="19" t="n"/>
      <c r="D82" s="4" t="n"/>
      <c r="E82" s="9">
        <f>IF(OR(C82="",D82=""),"",C82+D82)</f>
        <v/>
      </c>
      <c r="F82" s="12" t="n"/>
      <c r="G82" s="19" t="n"/>
      <c r="H82">
        <f>IF(A82="","",IF(G82&lt;&gt;"","Paid",IF(TODAY()&gt;E82,"OVERDUE","Awaiting payment")))</f>
        <v/>
      </c>
      <c r="I82">
        <f>IF(H82="OVERDUE",TODAY()-E82,"")</f>
        <v/>
      </c>
    </row>
    <row r="83">
      <c r="A83" s="4" t="n"/>
      <c r="B83" s="4" t="n"/>
      <c r="C83" s="19" t="n"/>
      <c r="D83" s="4" t="n"/>
      <c r="E83" s="9">
        <f>IF(OR(C83="",D83=""),"",C83+D83)</f>
        <v/>
      </c>
      <c r="F83" s="12" t="n"/>
      <c r="G83" s="19" t="n"/>
      <c r="H83">
        <f>IF(A83="","",IF(G83&lt;&gt;"","Paid",IF(TODAY()&gt;E83,"OVERDUE","Awaiting payment")))</f>
        <v/>
      </c>
      <c r="I83">
        <f>IF(H83="OVERDUE",TODAY()-E83,"")</f>
        <v/>
      </c>
    </row>
    <row r="84">
      <c r="A84" s="4" t="n"/>
      <c r="B84" s="4" t="n"/>
      <c r="C84" s="19" t="n"/>
      <c r="D84" s="4" t="n"/>
      <c r="E84" s="9">
        <f>IF(OR(C84="",D84=""),"",C84+D84)</f>
        <v/>
      </c>
      <c r="F84" s="12" t="n"/>
      <c r="G84" s="19" t="n"/>
      <c r="H84">
        <f>IF(A84="","",IF(G84&lt;&gt;"","Paid",IF(TODAY()&gt;E84,"OVERDUE","Awaiting payment")))</f>
        <v/>
      </c>
      <c r="I84">
        <f>IF(H84="OVERDUE",TODAY()-E84,"")</f>
        <v/>
      </c>
    </row>
    <row r="85">
      <c r="A85" s="4" t="n"/>
      <c r="B85" s="4" t="n"/>
      <c r="C85" s="19" t="n"/>
      <c r="D85" s="4" t="n"/>
      <c r="E85" s="9">
        <f>IF(OR(C85="",D85=""),"",C85+D85)</f>
        <v/>
      </c>
      <c r="F85" s="12" t="n"/>
      <c r="G85" s="19" t="n"/>
      <c r="H85">
        <f>IF(A85="","",IF(G85&lt;&gt;"","Paid",IF(TODAY()&gt;E85,"OVERDUE","Awaiting payment")))</f>
        <v/>
      </c>
      <c r="I85">
        <f>IF(H85="OVERDUE",TODAY()-E85,"")</f>
        <v/>
      </c>
    </row>
    <row r="86">
      <c r="A86" s="4" t="n"/>
      <c r="B86" s="4" t="n"/>
      <c r="C86" s="19" t="n"/>
      <c r="D86" s="4" t="n"/>
      <c r="E86" s="9">
        <f>IF(OR(C86="",D86=""),"",C86+D86)</f>
        <v/>
      </c>
      <c r="F86" s="12" t="n"/>
      <c r="G86" s="19" t="n"/>
      <c r="H86">
        <f>IF(A86="","",IF(G86&lt;&gt;"","Paid",IF(TODAY()&gt;E86,"OVERDUE","Awaiting payment")))</f>
        <v/>
      </c>
      <c r="I86">
        <f>IF(H86="OVERDUE",TODAY()-E86,"")</f>
        <v/>
      </c>
    </row>
    <row r="87">
      <c r="A87" s="4" t="n"/>
      <c r="B87" s="4" t="n"/>
      <c r="C87" s="19" t="n"/>
      <c r="D87" s="4" t="n"/>
      <c r="E87" s="9">
        <f>IF(OR(C87="",D87=""),"",C87+D87)</f>
        <v/>
      </c>
      <c r="F87" s="12" t="n"/>
      <c r="G87" s="19" t="n"/>
      <c r="H87">
        <f>IF(A87="","",IF(G87&lt;&gt;"","Paid",IF(TODAY()&gt;E87,"OVERDUE","Awaiting payment")))</f>
        <v/>
      </c>
      <c r="I87">
        <f>IF(H87="OVERDUE",TODAY()-E87,"")</f>
        <v/>
      </c>
    </row>
    <row r="88">
      <c r="A88" s="4" t="n"/>
      <c r="B88" s="4" t="n"/>
      <c r="C88" s="19" t="n"/>
      <c r="D88" s="4" t="n"/>
      <c r="E88" s="9">
        <f>IF(OR(C88="",D88=""),"",C88+D88)</f>
        <v/>
      </c>
      <c r="F88" s="12" t="n"/>
      <c r="G88" s="19" t="n"/>
      <c r="H88">
        <f>IF(A88="","",IF(G88&lt;&gt;"","Paid",IF(TODAY()&gt;E88,"OVERDUE","Awaiting payment")))</f>
        <v/>
      </c>
      <c r="I88">
        <f>IF(H88="OVERDUE",TODAY()-E88,"")</f>
        <v/>
      </c>
    </row>
    <row r="89">
      <c r="A89" s="4" t="n"/>
      <c r="B89" s="4" t="n"/>
      <c r="C89" s="19" t="n"/>
      <c r="D89" s="4" t="n"/>
      <c r="E89" s="9">
        <f>IF(OR(C89="",D89=""),"",C89+D89)</f>
        <v/>
      </c>
      <c r="F89" s="12" t="n"/>
      <c r="G89" s="19" t="n"/>
      <c r="H89">
        <f>IF(A89="","",IF(G89&lt;&gt;"","Paid",IF(TODAY()&gt;E89,"OVERDUE","Awaiting payment")))</f>
        <v/>
      </c>
      <c r="I89">
        <f>IF(H89="OVERDUE",TODAY()-E89,"")</f>
        <v/>
      </c>
    </row>
    <row r="90">
      <c r="A90" s="4" t="n"/>
      <c r="B90" s="4" t="n"/>
      <c r="C90" s="19" t="n"/>
      <c r="D90" s="4" t="n"/>
      <c r="E90" s="9">
        <f>IF(OR(C90="",D90=""),"",C90+D90)</f>
        <v/>
      </c>
      <c r="F90" s="12" t="n"/>
      <c r="G90" s="19" t="n"/>
      <c r="H90">
        <f>IF(A90="","",IF(G90&lt;&gt;"","Paid",IF(TODAY()&gt;E90,"OVERDUE","Awaiting payment")))</f>
        <v/>
      </c>
      <c r="I90">
        <f>IF(H90="OVERDUE",TODAY()-E90,"")</f>
        <v/>
      </c>
    </row>
    <row r="91">
      <c r="A91" s="4" t="n"/>
      <c r="B91" s="4" t="n"/>
      <c r="C91" s="19" t="n"/>
      <c r="D91" s="4" t="n"/>
      <c r="E91" s="9">
        <f>IF(OR(C91="",D91=""),"",C91+D91)</f>
        <v/>
      </c>
      <c r="F91" s="12" t="n"/>
      <c r="G91" s="19" t="n"/>
      <c r="H91">
        <f>IF(A91="","",IF(G91&lt;&gt;"","Paid",IF(TODAY()&gt;E91,"OVERDUE","Awaiting payment")))</f>
        <v/>
      </c>
      <c r="I91">
        <f>IF(H91="OVERDUE",TODAY()-E91,"")</f>
        <v/>
      </c>
    </row>
    <row r="92">
      <c r="A92" s="4" t="n"/>
      <c r="B92" s="4" t="n"/>
      <c r="C92" s="19" t="n"/>
      <c r="D92" s="4" t="n"/>
      <c r="E92" s="9">
        <f>IF(OR(C92="",D92=""),"",C92+D92)</f>
        <v/>
      </c>
      <c r="F92" s="12" t="n"/>
      <c r="G92" s="19" t="n"/>
      <c r="H92">
        <f>IF(A92="","",IF(G92&lt;&gt;"","Paid",IF(TODAY()&gt;E92,"OVERDUE","Awaiting payment")))</f>
        <v/>
      </c>
      <c r="I92">
        <f>IF(H92="OVERDUE",TODAY()-E92,"")</f>
        <v/>
      </c>
    </row>
    <row r="93">
      <c r="A93" s="4" t="n"/>
      <c r="B93" s="4" t="n"/>
      <c r="C93" s="19" t="n"/>
      <c r="D93" s="4" t="n"/>
      <c r="E93" s="9">
        <f>IF(OR(C93="",D93=""),"",C93+D93)</f>
        <v/>
      </c>
      <c r="F93" s="12" t="n"/>
      <c r="G93" s="19" t="n"/>
      <c r="H93">
        <f>IF(A93="","",IF(G93&lt;&gt;"","Paid",IF(TODAY()&gt;E93,"OVERDUE","Awaiting payment")))</f>
        <v/>
      </c>
      <c r="I93">
        <f>IF(H93="OVERDUE",TODAY()-E93,"")</f>
        <v/>
      </c>
    </row>
    <row r="94">
      <c r="A94" s="4" t="n"/>
      <c r="B94" s="4" t="n"/>
      <c r="C94" s="19" t="n"/>
      <c r="D94" s="4" t="n"/>
      <c r="E94" s="9">
        <f>IF(OR(C94="",D94=""),"",C94+D94)</f>
        <v/>
      </c>
      <c r="F94" s="12" t="n"/>
      <c r="G94" s="19" t="n"/>
      <c r="H94">
        <f>IF(A94="","",IF(G94&lt;&gt;"","Paid",IF(TODAY()&gt;E94,"OVERDUE","Awaiting payment")))</f>
        <v/>
      </c>
      <c r="I94">
        <f>IF(H94="OVERDUE",TODAY()-E94,"")</f>
        <v/>
      </c>
    </row>
    <row r="95">
      <c r="A95" s="4" t="n"/>
      <c r="B95" s="4" t="n"/>
      <c r="C95" s="19" t="n"/>
      <c r="D95" s="4" t="n"/>
      <c r="E95" s="9">
        <f>IF(OR(C95="",D95=""),"",C95+D95)</f>
        <v/>
      </c>
      <c r="F95" s="12" t="n"/>
      <c r="G95" s="19" t="n"/>
      <c r="H95">
        <f>IF(A95="","",IF(G95&lt;&gt;"","Paid",IF(TODAY()&gt;E95,"OVERDUE","Awaiting payment")))</f>
        <v/>
      </c>
      <c r="I95">
        <f>IF(H95="OVERDUE",TODAY()-E95,"")</f>
        <v/>
      </c>
    </row>
    <row r="96">
      <c r="A96" s="4" t="n"/>
      <c r="B96" s="4" t="n"/>
      <c r="C96" s="19" t="n"/>
      <c r="D96" s="4" t="n"/>
      <c r="E96" s="9">
        <f>IF(OR(C96="",D96=""),"",C96+D96)</f>
        <v/>
      </c>
      <c r="F96" s="12" t="n"/>
      <c r="G96" s="19" t="n"/>
      <c r="H96">
        <f>IF(A96="","",IF(G96&lt;&gt;"","Paid",IF(TODAY()&gt;E96,"OVERDUE","Awaiting payment")))</f>
        <v/>
      </c>
      <c r="I96">
        <f>IF(H96="OVERDUE",TODAY()-E96,"")</f>
        <v/>
      </c>
    </row>
    <row r="97">
      <c r="A97" s="4" t="n"/>
      <c r="B97" s="4" t="n"/>
      <c r="C97" s="19" t="n"/>
      <c r="D97" s="4" t="n"/>
      <c r="E97" s="9">
        <f>IF(OR(C97="",D97=""),"",C97+D97)</f>
        <v/>
      </c>
      <c r="F97" s="12" t="n"/>
      <c r="G97" s="19" t="n"/>
      <c r="H97">
        <f>IF(A97="","",IF(G97&lt;&gt;"","Paid",IF(TODAY()&gt;E97,"OVERDUE","Awaiting payment")))</f>
        <v/>
      </c>
      <c r="I97">
        <f>IF(H97="OVERDUE",TODAY()-E97,"")</f>
        <v/>
      </c>
    </row>
    <row r="98">
      <c r="A98" s="4" t="n"/>
      <c r="B98" s="4" t="n"/>
      <c r="C98" s="19" t="n"/>
      <c r="D98" s="4" t="n"/>
      <c r="E98" s="9">
        <f>IF(OR(C98="",D98=""),"",C98+D98)</f>
        <v/>
      </c>
      <c r="F98" s="12" t="n"/>
      <c r="G98" s="19" t="n"/>
      <c r="H98">
        <f>IF(A98="","",IF(G98&lt;&gt;"","Paid",IF(TODAY()&gt;E98,"OVERDUE","Awaiting payment")))</f>
        <v/>
      </c>
      <c r="I98">
        <f>IF(H98="OVERDUE",TODAY()-E98,"")</f>
        <v/>
      </c>
    </row>
    <row r="99">
      <c r="A99" s="4" t="n"/>
      <c r="B99" s="4" t="n"/>
      <c r="C99" s="19" t="n"/>
      <c r="D99" s="4" t="n"/>
      <c r="E99" s="9">
        <f>IF(OR(C99="",D99=""),"",C99+D99)</f>
        <v/>
      </c>
      <c r="F99" s="12" t="n"/>
      <c r="G99" s="19" t="n"/>
      <c r="H99">
        <f>IF(A99="","",IF(G99&lt;&gt;"","Paid",IF(TODAY()&gt;E99,"OVERDUE","Awaiting payment")))</f>
        <v/>
      </c>
      <c r="I99">
        <f>IF(H99="OVERDUE",TODAY()-E99,"")</f>
        <v/>
      </c>
    </row>
    <row r="100">
      <c r="A100" s="4" t="n"/>
      <c r="B100" s="4" t="n"/>
      <c r="C100" s="19" t="n"/>
      <c r="D100" s="4" t="n"/>
      <c r="E100" s="9">
        <f>IF(OR(C100="",D100=""),"",C100+D100)</f>
        <v/>
      </c>
      <c r="F100" s="12" t="n"/>
      <c r="G100" s="19" t="n"/>
      <c r="H100">
        <f>IF(A100="","",IF(G100&lt;&gt;"","Paid",IF(TODAY()&gt;E100,"OVERDUE","Awaiting payment")))</f>
        <v/>
      </c>
      <c r="I100">
        <f>IF(H100="OVERDUE",TODAY()-E100,"")</f>
        <v/>
      </c>
    </row>
    <row r="101">
      <c r="A101" s="4" t="n"/>
      <c r="B101" s="4" t="n"/>
      <c r="C101" s="19" t="n"/>
      <c r="D101" s="4" t="n"/>
      <c r="E101" s="9">
        <f>IF(OR(C101="",D101=""),"",C101+D101)</f>
        <v/>
      </c>
      <c r="F101" s="12" t="n"/>
      <c r="G101" s="19" t="n"/>
      <c r="H101">
        <f>IF(A101="","",IF(G101&lt;&gt;"","Paid",IF(TODAY()&gt;E101,"OVERDUE","Awaiting payment")))</f>
        <v/>
      </c>
      <c r="I101">
        <f>IF(H101="OVERDUE",TODAY()-E101,"")</f>
        <v/>
      </c>
    </row>
    <row r="102">
      <c r="A102" s="4" t="n"/>
      <c r="B102" s="4" t="n"/>
      <c r="C102" s="19" t="n"/>
      <c r="D102" s="4" t="n"/>
      <c r="E102" s="9">
        <f>IF(OR(C102="",D102=""),"",C102+D102)</f>
        <v/>
      </c>
      <c r="F102" s="12" t="n"/>
      <c r="G102" s="19" t="n"/>
      <c r="H102">
        <f>IF(A102="","",IF(G102&lt;&gt;"","Paid",IF(TODAY()&gt;E102,"OVERDUE","Awaiting payment")))</f>
        <v/>
      </c>
      <c r="I102">
        <f>IF(H102="OVERDUE",TODAY()-E102,"")</f>
        <v/>
      </c>
    </row>
    <row r="103">
      <c r="A103" s="4" t="n"/>
      <c r="B103" s="4" t="n"/>
      <c r="C103" s="19" t="n"/>
      <c r="D103" s="4" t="n"/>
      <c r="E103" s="9">
        <f>IF(OR(C103="",D103=""),"",C103+D103)</f>
        <v/>
      </c>
      <c r="F103" s="12" t="n"/>
      <c r="G103" s="19" t="n"/>
      <c r="H103">
        <f>IF(A103="","",IF(G103&lt;&gt;"","Paid",IF(TODAY()&gt;E103,"OVERDUE","Awaiting payment")))</f>
        <v/>
      </c>
      <c r="I103">
        <f>IF(H103="OVERDUE",TODAY()-E103,"")</f>
        <v/>
      </c>
    </row>
    <row r="104">
      <c r="A104" s="4" t="n"/>
      <c r="B104" s="4" t="n"/>
      <c r="C104" s="19" t="n"/>
      <c r="D104" s="4" t="n"/>
      <c r="E104" s="9">
        <f>IF(OR(C104="",D104=""),"",C104+D104)</f>
        <v/>
      </c>
      <c r="F104" s="12" t="n"/>
      <c r="G104" s="19" t="n"/>
      <c r="H104">
        <f>IF(A104="","",IF(G104&lt;&gt;"","Paid",IF(TODAY()&gt;E104,"OVERDUE","Awaiting payment")))</f>
        <v/>
      </c>
      <c r="I104">
        <f>IF(H104="OVERDUE",TODAY()-E104,"")</f>
        <v/>
      </c>
    </row>
    <row r="105">
      <c r="A105" s="4" t="n"/>
      <c r="B105" s="4" t="n"/>
      <c r="C105" s="19" t="n"/>
      <c r="D105" s="4" t="n"/>
      <c r="E105" s="9">
        <f>IF(OR(C105="",D105=""),"",C105+D105)</f>
        <v/>
      </c>
      <c r="F105" s="12" t="n"/>
      <c r="G105" s="19" t="n"/>
      <c r="H105">
        <f>IF(A105="","",IF(G105&lt;&gt;"","Paid",IF(TODAY()&gt;E105,"OVERDUE","Awaiting payment")))</f>
        <v/>
      </c>
      <c r="I105">
        <f>IF(H105="OVERDUE",TODAY()-E105,"")</f>
        <v/>
      </c>
    </row>
    <row r="106">
      <c r="A106" s="4" t="n"/>
      <c r="B106" s="4" t="n"/>
      <c r="C106" s="19" t="n"/>
      <c r="D106" s="4" t="n"/>
      <c r="E106" s="9">
        <f>IF(OR(C106="",D106=""),"",C106+D106)</f>
        <v/>
      </c>
      <c r="F106" s="12" t="n"/>
      <c r="G106" s="19" t="n"/>
      <c r="H106">
        <f>IF(A106="","",IF(G106&lt;&gt;"","Paid",IF(TODAY()&gt;E106,"OVERDUE","Awaiting payment")))</f>
        <v/>
      </c>
      <c r="I106">
        <f>IF(H106="OVERDUE",TODAY()-E106,"")</f>
        <v/>
      </c>
    </row>
    <row r="107">
      <c r="A107" s="4" t="n"/>
      <c r="B107" s="4" t="n"/>
      <c r="C107" s="19" t="n"/>
      <c r="D107" s="4" t="n"/>
      <c r="E107" s="9">
        <f>IF(OR(C107="",D107=""),"",C107+D107)</f>
        <v/>
      </c>
      <c r="F107" s="12" t="n"/>
      <c r="G107" s="19" t="n"/>
      <c r="H107">
        <f>IF(A107="","",IF(G107&lt;&gt;"","Paid",IF(TODAY()&gt;E107,"OVERDUE","Awaiting payment")))</f>
        <v/>
      </c>
      <c r="I107">
        <f>IF(H107="OVERDUE",TODAY()-E107,"")</f>
        <v/>
      </c>
    </row>
    <row r="108">
      <c r="A108" s="4" t="n"/>
      <c r="B108" s="4" t="n"/>
      <c r="C108" s="19" t="n"/>
      <c r="D108" s="4" t="n"/>
      <c r="E108" s="9">
        <f>IF(OR(C108="",D108=""),"",C108+D108)</f>
        <v/>
      </c>
      <c r="F108" s="12" t="n"/>
      <c r="G108" s="19" t="n"/>
      <c r="H108">
        <f>IF(A108="","",IF(G108&lt;&gt;"","Paid",IF(TODAY()&gt;E108,"OVERDUE","Awaiting payment")))</f>
        <v/>
      </c>
      <c r="I108">
        <f>IF(H108="OVERDUE",TODAY()-E108,"")</f>
        <v/>
      </c>
    </row>
    <row r="109">
      <c r="A109" s="4" t="n"/>
      <c r="B109" s="4" t="n"/>
      <c r="C109" s="19" t="n"/>
      <c r="D109" s="4" t="n"/>
      <c r="E109" s="9">
        <f>IF(OR(C109="",D109=""),"",C109+D109)</f>
        <v/>
      </c>
      <c r="F109" s="12" t="n"/>
      <c r="G109" s="19" t="n"/>
      <c r="H109">
        <f>IF(A109="","",IF(G109&lt;&gt;"","Paid",IF(TODAY()&gt;E109,"OVERDUE","Awaiting payment")))</f>
        <v/>
      </c>
      <c r="I109">
        <f>IF(H109="OVERDUE",TODAY()-E109,"")</f>
        <v/>
      </c>
    </row>
    <row r="110">
      <c r="A110" s="4" t="n"/>
      <c r="B110" s="4" t="n"/>
      <c r="C110" s="19" t="n"/>
      <c r="D110" s="4" t="n"/>
      <c r="E110" s="9">
        <f>IF(OR(C110="",D110=""),"",C110+D110)</f>
        <v/>
      </c>
      <c r="F110" s="12" t="n"/>
      <c r="G110" s="19" t="n"/>
      <c r="H110">
        <f>IF(A110="","",IF(G110&lt;&gt;"","Paid",IF(TODAY()&gt;E110,"OVERDUE","Awaiting payment")))</f>
        <v/>
      </c>
      <c r="I110">
        <f>IF(H110="OVERDUE",TODAY()-E110,"")</f>
        <v/>
      </c>
    </row>
    <row r="111">
      <c r="A111" s="4" t="n"/>
      <c r="B111" s="4" t="n"/>
      <c r="C111" s="19" t="n"/>
      <c r="D111" s="4" t="n"/>
      <c r="E111" s="9">
        <f>IF(OR(C111="",D111=""),"",C111+D111)</f>
        <v/>
      </c>
      <c r="F111" s="12" t="n"/>
      <c r="G111" s="19" t="n"/>
      <c r="H111">
        <f>IF(A111="","",IF(G111&lt;&gt;"","Paid",IF(TODAY()&gt;E111,"OVERDUE","Awaiting payment")))</f>
        <v/>
      </c>
      <c r="I111">
        <f>IF(H111="OVERDUE",TODAY()-E111,"")</f>
        <v/>
      </c>
    </row>
    <row r="112">
      <c r="A112" s="4" t="n"/>
      <c r="B112" s="4" t="n"/>
      <c r="C112" s="19" t="n"/>
      <c r="D112" s="4" t="n"/>
      <c r="E112" s="9">
        <f>IF(OR(C112="",D112=""),"",C112+D112)</f>
        <v/>
      </c>
      <c r="F112" s="12" t="n"/>
      <c r="G112" s="19" t="n"/>
      <c r="H112">
        <f>IF(A112="","",IF(G112&lt;&gt;"","Paid",IF(TODAY()&gt;E112,"OVERDUE","Awaiting payment")))</f>
        <v/>
      </c>
      <c r="I112">
        <f>IF(H112="OVERDUE",TODAY()-E112,"")</f>
        <v/>
      </c>
    </row>
    <row r="113">
      <c r="A113" s="4" t="n"/>
      <c r="B113" s="4" t="n"/>
      <c r="C113" s="19" t="n"/>
      <c r="D113" s="4" t="n"/>
      <c r="E113" s="9">
        <f>IF(OR(C113="",D113=""),"",C113+D113)</f>
        <v/>
      </c>
      <c r="F113" s="12" t="n"/>
      <c r="G113" s="19" t="n"/>
      <c r="H113">
        <f>IF(A113="","",IF(G113&lt;&gt;"","Paid",IF(TODAY()&gt;E113,"OVERDUE","Awaiting payment")))</f>
        <v/>
      </c>
      <c r="I113">
        <f>IF(H113="OVERDUE",TODAY()-E113,"")</f>
        <v/>
      </c>
    </row>
    <row r="114">
      <c r="A114" s="4" t="n"/>
      <c r="B114" s="4" t="n"/>
      <c r="C114" s="19" t="n"/>
      <c r="D114" s="4" t="n"/>
      <c r="E114" s="9">
        <f>IF(OR(C114="",D114=""),"",C114+D114)</f>
        <v/>
      </c>
      <c r="F114" s="12" t="n"/>
      <c r="G114" s="19" t="n"/>
      <c r="H114">
        <f>IF(A114="","",IF(G114&lt;&gt;"","Paid",IF(TODAY()&gt;E114,"OVERDUE","Awaiting payment")))</f>
        <v/>
      </c>
      <c r="I114">
        <f>IF(H114="OVERDUE",TODAY()-E114,"")</f>
        <v/>
      </c>
    </row>
    <row r="115">
      <c r="A115" s="4" t="n"/>
      <c r="B115" s="4" t="n"/>
      <c r="C115" s="19" t="n"/>
      <c r="D115" s="4" t="n"/>
      <c r="E115" s="9">
        <f>IF(OR(C115="",D115=""),"",C115+D115)</f>
        <v/>
      </c>
      <c r="F115" s="12" t="n"/>
      <c r="G115" s="19" t="n"/>
      <c r="H115">
        <f>IF(A115="","",IF(G115&lt;&gt;"","Paid",IF(TODAY()&gt;E115,"OVERDUE","Awaiting payment")))</f>
        <v/>
      </c>
      <c r="I115">
        <f>IF(H115="OVERDUE",TODAY()-E115,"")</f>
        <v/>
      </c>
    </row>
    <row r="116">
      <c r="A116" s="4" t="n"/>
      <c r="B116" s="4" t="n"/>
      <c r="C116" s="19" t="n"/>
      <c r="D116" s="4" t="n"/>
      <c r="E116" s="9">
        <f>IF(OR(C116="",D116=""),"",C116+D116)</f>
        <v/>
      </c>
      <c r="F116" s="12" t="n"/>
      <c r="G116" s="19" t="n"/>
      <c r="H116">
        <f>IF(A116="","",IF(G116&lt;&gt;"","Paid",IF(TODAY()&gt;E116,"OVERDUE","Awaiting payment")))</f>
        <v/>
      </c>
      <c r="I116">
        <f>IF(H116="OVERDUE",TODAY()-E116,"")</f>
        <v/>
      </c>
    </row>
    <row r="117">
      <c r="A117" s="4" t="n"/>
      <c r="B117" s="4" t="n"/>
      <c r="C117" s="19" t="n"/>
      <c r="D117" s="4" t="n"/>
      <c r="E117" s="9">
        <f>IF(OR(C117="",D117=""),"",C117+D117)</f>
        <v/>
      </c>
      <c r="F117" s="12" t="n"/>
      <c r="G117" s="19" t="n"/>
      <c r="H117">
        <f>IF(A117="","",IF(G117&lt;&gt;"","Paid",IF(TODAY()&gt;E117,"OVERDUE","Awaiting payment")))</f>
        <v/>
      </c>
      <c r="I117">
        <f>IF(H117="OVERDUE",TODAY()-E117,"")</f>
        <v/>
      </c>
    </row>
    <row r="118">
      <c r="A118" s="4" t="n"/>
      <c r="B118" s="4" t="n"/>
      <c r="C118" s="19" t="n"/>
      <c r="D118" s="4" t="n"/>
      <c r="E118" s="9">
        <f>IF(OR(C118="",D118=""),"",C118+D118)</f>
        <v/>
      </c>
      <c r="F118" s="12" t="n"/>
      <c r="G118" s="19" t="n"/>
      <c r="H118">
        <f>IF(A118="","",IF(G118&lt;&gt;"","Paid",IF(TODAY()&gt;E118,"OVERDUE","Awaiting payment")))</f>
        <v/>
      </c>
      <c r="I118">
        <f>IF(H118="OVERDUE",TODAY()-E118,"")</f>
        <v/>
      </c>
    </row>
    <row r="119">
      <c r="A119" s="4" t="n"/>
      <c r="B119" s="4" t="n"/>
      <c r="C119" s="19" t="n"/>
      <c r="D119" s="4" t="n"/>
      <c r="E119" s="9">
        <f>IF(OR(C119="",D119=""),"",C119+D119)</f>
        <v/>
      </c>
      <c r="F119" s="12" t="n"/>
      <c r="G119" s="19" t="n"/>
      <c r="H119">
        <f>IF(A119="","",IF(G119&lt;&gt;"","Paid",IF(TODAY()&gt;E119,"OVERDUE","Awaiting payment")))</f>
        <v/>
      </c>
      <c r="I119">
        <f>IF(H119="OVERDUE",TODAY()-E119,"")</f>
        <v/>
      </c>
    </row>
    <row r="120">
      <c r="A120" s="4" t="n"/>
      <c r="B120" s="4" t="n"/>
      <c r="C120" s="19" t="n"/>
      <c r="D120" s="4" t="n"/>
      <c r="E120" s="9">
        <f>IF(OR(C120="",D120=""),"",C120+D120)</f>
        <v/>
      </c>
      <c r="F120" s="12" t="n"/>
      <c r="G120" s="19" t="n"/>
      <c r="H120">
        <f>IF(A120="","",IF(G120&lt;&gt;"","Paid",IF(TODAY()&gt;E120,"OVERDUE","Awaiting payment")))</f>
        <v/>
      </c>
      <c r="I120">
        <f>IF(H120="OVERDUE",TODAY()-E120,"")</f>
        <v/>
      </c>
    </row>
    <row r="121">
      <c r="A121" s="4" t="n"/>
      <c r="B121" s="4" t="n"/>
      <c r="C121" s="19" t="n"/>
      <c r="D121" s="4" t="n"/>
      <c r="E121" s="9">
        <f>IF(OR(C121="",D121=""),"",C121+D121)</f>
        <v/>
      </c>
      <c r="F121" s="12" t="n"/>
      <c r="G121" s="19" t="n"/>
      <c r="H121">
        <f>IF(A121="","",IF(G121&lt;&gt;"","Paid",IF(TODAY()&gt;E121,"OVERDUE","Awaiting payment")))</f>
        <v/>
      </c>
      <c r="I121">
        <f>IF(H121="OVERDUE",TODAY()-E121,"")</f>
        <v/>
      </c>
    </row>
    <row r="122">
      <c r="A122" s="4" t="n"/>
      <c r="B122" s="4" t="n"/>
      <c r="C122" s="19" t="n"/>
      <c r="D122" s="4" t="n"/>
      <c r="E122" s="9">
        <f>IF(OR(C122="",D122=""),"",C122+D122)</f>
        <v/>
      </c>
      <c r="F122" s="12" t="n"/>
      <c r="G122" s="19" t="n"/>
      <c r="H122">
        <f>IF(A122="","",IF(G122&lt;&gt;"","Paid",IF(TODAY()&gt;E122,"OVERDUE","Awaiting payment")))</f>
        <v/>
      </c>
      <c r="I122">
        <f>IF(H122="OVERDUE",TODAY()-E122,"")</f>
        <v/>
      </c>
    </row>
    <row r="123">
      <c r="A123" s="4" t="n"/>
      <c r="B123" s="4" t="n"/>
      <c r="C123" s="19" t="n"/>
      <c r="D123" s="4" t="n"/>
      <c r="E123" s="9">
        <f>IF(OR(C123="",D123=""),"",C123+D123)</f>
        <v/>
      </c>
      <c r="F123" s="12" t="n"/>
      <c r="G123" s="19" t="n"/>
      <c r="H123">
        <f>IF(A123="","",IF(G123&lt;&gt;"","Paid",IF(TODAY()&gt;E123,"OVERDUE","Awaiting payment")))</f>
        <v/>
      </c>
      <c r="I123">
        <f>IF(H123="OVERDUE",TODAY()-E123,"")</f>
        <v/>
      </c>
    </row>
    <row r="124">
      <c r="A124" s="4" t="n"/>
      <c r="B124" s="4" t="n"/>
      <c r="C124" s="19" t="n"/>
      <c r="D124" s="4" t="n"/>
      <c r="E124" s="9">
        <f>IF(OR(C124="",D124=""),"",C124+D124)</f>
        <v/>
      </c>
      <c r="F124" s="12" t="n"/>
      <c r="G124" s="19" t="n"/>
      <c r="H124">
        <f>IF(A124="","",IF(G124&lt;&gt;"","Paid",IF(TODAY()&gt;E124,"OVERDUE","Awaiting payment")))</f>
        <v/>
      </c>
      <c r="I124">
        <f>IF(H124="OVERDUE",TODAY()-E124,"")</f>
        <v/>
      </c>
    </row>
    <row r="125">
      <c r="A125" s="4" t="n"/>
      <c r="B125" s="4" t="n"/>
      <c r="C125" s="19" t="n"/>
      <c r="D125" s="4" t="n"/>
      <c r="E125" s="9">
        <f>IF(OR(C125="",D125=""),"",C125+D125)</f>
        <v/>
      </c>
      <c r="F125" s="12" t="n"/>
      <c r="G125" s="19" t="n"/>
      <c r="H125">
        <f>IF(A125="","",IF(G125&lt;&gt;"","Paid",IF(TODAY()&gt;E125,"OVERDUE","Awaiting payment")))</f>
        <v/>
      </c>
      <c r="I125">
        <f>IF(H125="OVERDUE",TODAY()-E125,"")</f>
        <v/>
      </c>
    </row>
    <row r="126">
      <c r="A126" s="4" t="n"/>
      <c r="B126" s="4" t="n"/>
      <c r="C126" s="19" t="n"/>
      <c r="D126" s="4" t="n"/>
      <c r="E126" s="9">
        <f>IF(OR(C126="",D126=""),"",C126+D126)</f>
        <v/>
      </c>
      <c r="F126" s="12" t="n"/>
      <c r="G126" s="19" t="n"/>
      <c r="H126">
        <f>IF(A126="","",IF(G126&lt;&gt;"","Paid",IF(TODAY()&gt;E126,"OVERDUE","Awaiting payment")))</f>
        <v/>
      </c>
      <c r="I126">
        <f>IF(H126="OVERDUE",TODAY()-E126,"")</f>
        <v/>
      </c>
    </row>
    <row r="127">
      <c r="A127" s="4" t="n"/>
      <c r="B127" s="4" t="n"/>
      <c r="C127" s="19" t="n"/>
      <c r="D127" s="4" t="n"/>
      <c r="E127" s="9">
        <f>IF(OR(C127="",D127=""),"",C127+D127)</f>
        <v/>
      </c>
      <c r="F127" s="12" t="n"/>
      <c r="G127" s="19" t="n"/>
      <c r="H127">
        <f>IF(A127="","",IF(G127&lt;&gt;"","Paid",IF(TODAY()&gt;E127,"OVERDUE","Awaiting payment")))</f>
        <v/>
      </c>
      <c r="I127">
        <f>IF(H127="OVERDUE",TODAY()-E127,"")</f>
        <v/>
      </c>
    </row>
    <row r="128">
      <c r="A128" s="4" t="n"/>
      <c r="B128" s="4" t="n"/>
      <c r="C128" s="19" t="n"/>
      <c r="D128" s="4" t="n"/>
      <c r="E128" s="9">
        <f>IF(OR(C128="",D128=""),"",C128+D128)</f>
        <v/>
      </c>
      <c r="F128" s="12" t="n"/>
      <c r="G128" s="19" t="n"/>
      <c r="H128">
        <f>IF(A128="","",IF(G128&lt;&gt;"","Paid",IF(TODAY()&gt;E128,"OVERDUE","Awaiting payment")))</f>
        <v/>
      </c>
      <c r="I128">
        <f>IF(H128="OVERDUE",TODAY()-E128,"")</f>
        <v/>
      </c>
    </row>
    <row r="129">
      <c r="A129" s="4" t="n"/>
      <c r="B129" s="4" t="n"/>
      <c r="C129" s="19" t="n"/>
      <c r="D129" s="4" t="n"/>
      <c r="E129" s="9">
        <f>IF(OR(C129="",D129=""),"",C129+D129)</f>
        <v/>
      </c>
      <c r="F129" s="12" t="n"/>
      <c r="G129" s="19" t="n"/>
      <c r="H129">
        <f>IF(A129="","",IF(G129&lt;&gt;"","Paid",IF(TODAY()&gt;E129,"OVERDUE","Awaiting payment")))</f>
        <v/>
      </c>
      <c r="I129">
        <f>IF(H129="OVERDUE",TODAY()-E129,"")</f>
        <v/>
      </c>
    </row>
    <row r="130">
      <c r="A130" s="4" t="n"/>
      <c r="B130" s="4" t="n"/>
      <c r="C130" s="19" t="n"/>
      <c r="D130" s="4" t="n"/>
      <c r="E130" s="9">
        <f>IF(OR(C130="",D130=""),"",C130+D130)</f>
        <v/>
      </c>
      <c r="F130" s="12" t="n"/>
      <c r="G130" s="19" t="n"/>
      <c r="H130">
        <f>IF(A130="","",IF(G130&lt;&gt;"","Paid",IF(TODAY()&gt;E130,"OVERDUE","Awaiting payment")))</f>
        <v/>
      </c>
      <c r="I130">
        <f>IF(H130="OVERDUE",TODAY()-E130,"")</f>
        <v/>
      </c>
    </row>
    <row r="131">
      <c r="A131" s="4" t="n"/>
      <c r="B131" s="4" t="n"/>
      <c r="C131" s="19" t="n"/>
      <c r="D131" s="4" t="n"/>
      <c r="E131" s="9">
        <f>IF(OR(C131="",D131=""),"",C131+D131)</f>
        <v/>
      </c>
      <c r="F131" s="12" t="n"/>
      <c r="G131" s="19" t="n"/>
      <c r="H131">
        <f>IF(A131="","",IF(G131&lt;&gt;"","Paid",IF(TODAY()&gt;E131,"OVERDUE","Awaiting payment")))</f>
        <v/>
      </c>
      <c r="I131">
        <f>IF(H131="OVERDUE",TODAY()-E131,"")</f>
        <v/>
      </c>
    </row>
    <row r="132">
      <c r="A132" s="4" t="n"/>
      <c r="B132" s="4" t="n"/>
      <c r="C132" s="19" t="n"/>
      <c r="D132" s="4" t="n"/>
      <c r="E132" s="9">
        <f>IF(OR(C132="",D132=""),"",C132+D132)</f>
        <v/>
      </c>
      <c r="F132" s="12" t="n"/>
      <c r="G132" s="19" t="n"/>
      <c r="H132">
        <f>IF(A132="","",IF(G132&lt;&gt;"","Paid",IF(TODAY()&gt;E132,"OVERDUE","Awaiting payment")))</f>
        <v/>
      </c>
      <c r="I132">
        <f>IF(H132="OVERDUE",TODAY()-E132,"")</f>
        <v/>
      </c>
    </row>
    <row r="133">
      <c r="A133" s="4" t="n"/>
      <c r="B133" s="4" t="n"/>
      <c r="C133" s="19" t="n"/>
      <c r="D133" s="4" t="n"/>
      <c r="E133" s="9">
        <f>IF(OR(C133="",D133=""),"",C133+D133)</f>
        <v/>
      </c>
      <c r="F133" s="12" t="n"/>
      <c r="G133" s="19" t="n"/>
      <c r="H133">
        <f>IF(A133="","",IF(G133&lt;&gt;"","Paid",IF(TODAY()&gt;E133,"OVERDUE","Awaiting payment")))</f>
        <v/>
      </c>
      <c r="I133">
        <f>IF(H133="OVERDUE",TODAY()-E133,"")</f>
        <v/>
      </c>
    </row>
    <row r="134">
      <c r="A134" s="4" t="n"/>
      <c r="B134" s="4" t="n"/>
      <c r="C134" s="19" t="n"/>
      <c r="D134" s="4" t="n"/>
      <c r="E134" s="9">
        <f>IF(OR(C134="",D134=""),"",C134+D134)</f>
        <v/>
      </c>
      <c r="F134" s="12" t="n"/>
      <c r="G134" s="19" t="n"/>
      <c r="H134">
        <f>IF(A134="","",IF(G134&lt;&gt;"","Paid",IF(TODAY()&gt;E134,"OVERDUE","Awaiting payment")))</f>
        <v/>
      </c>
      <c r="I134">
        <f>IF(H134="OVERDUE",TODAY()-E134,"")</f>
        <v/>
      </c>
    </row>
    <row r="135">
      <c r="A135" s="4" t="n"/>
      <c r="B135" s="4" t="n"/>
      <c r="C135" s="19" t="n"/>
      <c r="D135" s="4" t="n"/>
      <c r="E135" s="9">
        <f>IF(OR(C135="",D135=""),"",C135+D135)</f>
        <v/>
      </c>
      <c r="F135" s="12" t="n"/>
      <c r="G135" s="19" t="n"/>
      <c r="H135">
        <f>IF(A135="","",IF(G135&lt;&gt;"","Paid",IF(TODAY()&gt;E135,"OVERDUE","Awaiting payment")))</f>
        <v/>
      </c>
      <c r="I135">
        <f>IF(H135="OVERDUE",TODAY()-E135,"")</f>
        <v/>
      </c>
    </row>
    <row r="136">
      <c r="A136" s="4" t="n"/>
      <c r="B136" s="4" t="n"/>
      <c r="C136" s="19" t="n"/>
      <c r="D136" s="4" t="n"/>
      <c r="E136" s="9">
        <f>IF(OR(C136="",D136=""),"",C136+D136)</f>
        <v/>
      </c>
      <c r="F136" s="12" t="n"/>
      <c r="G136" s="19" t="n"/>
      <c r="H136">
        <f>IF(A136="","",IF(G136&lt;&gt;"","Paid",IF(TODAY()&gt;E136,"OVERDUE","Awaiting payment")))</f>
        <v/>
      </c>
      <c r="I136">
        <f>IF(H136="OVERDUE",TODAY()-E136,"")</f>
        <v/>
      </c>
    </row>
    <row r="137">
      <c r="A137" s="4" t="n"/>
      <c r="B137" s="4" t="n"/>
      <c r="C137" s="19" t="n"/>
      <c r="D137" s="4" t="n"/>
      <c r="E137" s="9">
        <f>IF(OR(C137="",D137=""),"",C137+D137)</f>
        <v/>
      </c>
      <c r="F137" s="12" t="n"/>
      <c r="G137" s="19" t="n"/>
      <c r="H137">
        <f>IF(A137="","",IF(G137&lt;&gt;"","Paid",IF(TODAY()&gt;E137,"OVERDUE","Awaiting payment")))</f>
        <v/>
      </c>
      <c r="I137">
        <f>IF(H137="OVERDUE",TODAY()-E137,"")</f>
        <v/>
      </c>
    </row>
    <row r="138">
      <c r="A138" s="4" t="n"/>
      <c r="B138" s="4" t="n"/>
      <c r="C138" s="19" t="n"/>
      <c r="D138" s="4" t="n"/>
      <c r="E138" s="9">
        <f>IF(OR(C138="",D138=""),"",C138+D138)</f>
        <v/>
      </c>
      <c r="F138" s="12" t="n"/>
      <c r="G138" s="19" t="n"/>
      <c r="H138">
        <f>IF(A138="","",IF(G138&lt;&gt;"","Paid",IF(TODAY()&gt;E138,"OVERDUE","Awaiting payment")))</f>
        <v/>
      </c>
      <c r="I138">
        <f>IF(H138="OVERDUE",TODAY()-E138,"")</f>
        <v/>
      </c>
    </row>
    <row r="139">
      <c r="A139" s="4" t="n"/>
      <c r="B139" s="4" t="n"/>
      <c r="C139" s="19" t="n"/>
      <c r="D139" s="4" t="n"/>
      <c r="E139" s="9">
        <f>IF(OR(C139="",D139=""),"",C139+D139)</f>
        <v/>
      </c>
      <c r="F139" s="12" t="n"/>
      <c r="G139" s="19" t="n"/>
      <c r="H139">
        <f>IF(A139="","",IF(G139&lt;&gt;"","Paid",IF(TODAY()&gt;E139,"OVERDUE","Awaiting payment")))</f>
        <v/>
      </c>
      <c r="I139">
        <f>IF(H139="OVERDUE",TODAY()-E139,"")</f>
        <v/>
      </c>
    </row>
    <row r="140">
      <c r="A140" s="4" t="n"/>
      <c r="B140" s="4" t="n"/>
      <c r="C140" s="19" t="n"/>
      <c r="D140" s="4" t="n"/>
      <c r="E140" s="9">
        <f>IF(OR(C140="",D140=""),"",C140+D140)</f>
        <v/>
      </c>
      <c r="F140" s="12" t="n"/>
      <c r="G140" s="19" t="n"/>
      <c r="H140">
        <f>IF(A140="","",IF(G140&lt;&gt;"","Paid",IF(TODAY()&gt;E140,"OVERDUE","Awaiting payment")))</f>
        <v/>
      </c>
      <c r="I140">
        <f>IF(H140="OVERDUE",TODAY()-E140,"")</f>
        <v/>
      </c>
    </row>
    <row r="141">
      <c r="A141" s="4" t="n"/>
      <c r="B141" s="4" t="n"/>
      <c r="C141" s="19" t="n"/>
      <c r="D141" s="4" t="n"/>
      <c r="E141" s="9">
        <f>IF(OR(C141="",D141=""),"",C141+D141)</f>
        <v/>
      </c>
      <c r="F141" s="12" t="n"/>
      <c r="G141" s="19" t="n"/>
      <c r="H141">
        <f>IF(A141="","",IF(G141&lt;&gt;"","Paid",IF(TODAY()&gt;E141,"OVERDUE","Awaiting payment")))</f>
        <v/>
      </c>
      <c r="I141">
        <f>IF(H141="OVERDUE",TODAY()-E141,"")</f>
        <v/>
      </c>
    </row>
    <row r="142">
      <c r="A142" s="4" t="n"/>
      <c r="B142" s="4" t="n"/>
      <c r="C142" s="19" t="n"/>
      <c r="D142" s="4" t="n"/>
      <c r="E142" s="9">
        <f>IF(OR(C142="",D142=""),"",C142+D142)</f>
        <v/>
      </c>
      <c r="F142" s="12" t="n"/>
      <c r="G142" s="19" t="n"/>
      <c r="H142">
        <f>IF(A142="","",IF(G142&lt;&gt;"","Paid",IF(TODAY()&gt;E142,"OVERDUE","Awaiting payment")))</f>
        <v/>
      </c>
      <c r="I142">
        <f>IF(H142="OVERDUE",TODAY()-E142,"")</f>
        <v/>
      </c>
    </row>
    <row r="143">
      <c r="A143" s="4" t="n"/>
      <c r="B143" s="4" t="n"/>
      <c r="C143" s="19" t="n"/>
      <c r="D143" s="4" t="n"/>
      <c r="E143" s="9">
        <f>IF(OR(C143="",D143=""),"",C143+D143)</f>
        <v/>
      </c>
      <c r="F143" s="12" t="n"/>
      <c r="G143" s="19" t="n"/>
      <c r="H143">
        <f>IF(A143="","",IF(G143&lt;&gt;"","Paid",IF(TODAY()&gt;E143,"OVERDUE","Awaiting payment")))</f>
        <v/>
      </c>
      <c r="I143">
        <f>IF(H143="OVERDUE",TODAY()-E143,"")</f>
        <v/>
      </c>
    </row>
    <row r="144">
      <c r="A144" s="4" t="n"/>
      <c r="B144" s="4" t="n"/>
      <c r="C144" s="19" t="n"/>
      <c r="D144" s="4" t="n"/>
      <c r="E144" s="9">
        <f>IF(OR(C144="",D144=""),"",C144+D144)</f>
        <v/>
      </c>
      <c r="F144" s="12" t="n"/>
      <c r="G144" s="19" t="n"/>
      <c r="H144">
        <f>IF(A144="","",IF(G144&lt;&gt;"","Paid",IF(TODAY()&gt;E144,"OVERDUE","Awaiting payment")))</f>
        <v/>
      </c>
      <c r="I144">
        <f>IF(H144="OVERDUE",TODAY()-E144,"")</f>
        <v/>
      </c>
    </row>
    <row r="145">
      <c r="A145" s="4" t="n"/>
      <c r="B145" s="4" t="n"/>
      <c r="C145" s="19" t="n"/>
      <c r="D145" s="4" t="n"/>
      <c r="E145" s="9">
        <f>IF(OR(C145="",D145=""),"",C145+D145)</f>
        <v/>
      </c>
      <c r="F145" s="12" t="n"/>
      <c r="G145" s="19" t="n"/>
      <c r="H145">
        <f>IF(A145="","",IF(G145&lt;&gt;"","Paid",IF(TODAY()&gt;E145,"OVERDUE","Awaiting payment")))</f>
        <v/>
      </c>
      <c r="I145">
        <f>IF(H145="OVERDUE",TODAY()-E145,"")</f>
        <v/>
      </c>
    </row>
    <row r="146">
      <c r="A146" s="4" t="n"/>
      <c r="B146" s="4" t="n"/>
      <c r="C146" s="19" t="n"/>
      <c r="D146" s="4" t="n"/>
      <c r="E146" s="9">
        <f>IF(OR(C146="",D146=""),"",C146+D146)</f>
        <v/>
      </c>
      <c r="F146" s="12" t="n"/>
      <c r="G146" s="19" t="n"/>
      <c r="H146">
        <f>IF(A146="","",IF(G146&lt;&gt;"","Paid",IF(TODAY()&gt;E146,"OVERDUE","Awaiting payment")))</f>
        <v/>
      </c>
      <c r="I146">
        <f>IF(H146="OVERDUE",TODAY()-E146,"")</f>
        <v/>
      </c>
    </row>
    <row r="147">
      <c r="A147" s="4" t="n"/>
      <c r="B147" s="4" t="n"/>
      <c r="C147" s="19" t="n"/>
      <c r="D147" s="4" t="n"/>
      <c r="E147" s="9">
        <f>IF(OR(C147="",D147=""),"",C147+D147)</f>
        <v/>
      </c>
      <c r="F147" s="12" t="n"/>
      <c r="G147" s="19" t="n"/>
      <c r="H147">
        <f>IF(A147="","",IF(G147&lt;&gt;"","Paid",IF(TODAY()&gt;E147,"OVERDUE","Awaiting payment")))</f>
        <v/>
      </c>
      <c r="I147">
        <f>IF(H147="OVERDUE",TODAY()-E147,"")</f>
        <v/>
      </c>
    </row>
    <row r="148">
      <c r="A148" s="4" t="n"/>
      <c r="B148" s="4" t="n"/>
      <c r="C148" s="19" t="n"/>
      <c r="D148" s="4" t="n"/>
      <c r="E148" s="9">
        <f>IF(OR(C148="",D148=""),"",C148+D148)</f>
        <v/>
      </c>
      <c r="F148" s="12" t="n"/>
      <c r="G148" s="19" t="n"/>
      <c r="H148">
        <f>IF(A148="","",IF(G148&lt;&gt;"","Paid",IF(TODAY()&gt;E148,"OVERDUE","Awaiting payment")))</f>
        <v/>
      </c>
      <c r="I148">
        <f>IF(H148="OVERDUE",TODAY()-E148,"")</f>
        <v/>
      </c>
    </row>
    <row r="149">
      <c r="A149" s="4" t="n"/>
      <c r="B149" s="4" t="n"/>
      <c r="C149" s="19" t="n"/>
      <c r="D149" s="4" t="n"/>
      <c r="E149" s="9">
        <f>IF(OR(C149="",D149=""),"",C149+D149)</f>
        <v/>
      </c>
      <c r="F149" s="12" t="n"/>
      <c r="G149" s="19" t="n"/>
      <c r="H149">
        <f>IF(A149="","",IF(G149&lt;&gt;"","Paid",IF(TODAY()&gt;E149,"OVERDUE","Awaiting payment")))</f>
        <v/>
      </c>
      <c r="I149">
        <f>IF(H149="OVERDUE",TODAY()-E149,"")</f>
        <v/>
      </c>
    </row>
    <row r="150">
      <c r="A150" s="4" t="n"/>
      <c r="B150" s="4" t="n"/>
      <c r="C150" s="19" t="n"/>
      <c r="D150" s="4" t="n"/>
      <c r="E150" s="9">
        <f>IF(OR(C150="",D150=""),"",C150+D150)</f>
        <v/>
      </c>
      <c r="F150" s="12" t="n"/>
      <c r="G150" s="19" t="n"/>
      <c r="H150">
        <f>IF(A150="","",IF(G150&lt;&gt;"","Paid",IF(TODAY()&gt;E150,"OVERDUE","Awaiting payment")))</f>
        <v/>
      </c>
      <c r="I150">
        <f>IF(H150="OVERDUE",TODAY()-E150,"")</f>
        <v/>
      </c>
    </row>
    <row r="151">
      <c r="A151" s="4" t="n"/>
      <c r="B151" s="4" t="n"/>
      <c r="C151" s="19" t="n"/>
      <c r="D151" s="4" t="n"/>
      <c r="E151" s="9">
        <f>IF(OR(C151="",D151=""),"",C151+D151)</f>
        <v/>
      </c>
      <c r="F151" s="12" t="n"/>
      <c r="G151" s="19" t="n"/>
      <c r="H151">
        <f>IF(A151="","",IF(G151&lt;&gt;"","Paid",IF(TODAY()&gt;E151,"OVERDUE","Awaiting payment")))</f>
        <v/>
      </c>
      <c r="I151">
        <f>IF(H151="OVERDUE",TODAY()-E151,"")</f>
        <v/>
      </c>
    </row>
    <row r="152">
      <c r="A152" s="4" t="n"/>
      <c r="B152" s="4" t="n"/>
      <c r="C152" s="19" t="n"/>
      <c r="D152" s="4" t="n"/>
      <c r="E152" s="9">
        <f>IF(OR(C152="",D152=""),"",C152+D152)</f>
        <v/>
      </c>
      <c r="F152" s="12" t="n"/>
      <c r="G152" s="19" t="n"/>
      <c r="H152">
        <f>IF(A152="","",IF(G152&lt;&gt;"","Paid",IF(TODAY()&gt;E152,"OVERDUE","Awaiting payment")))</f>
        <v/>
      </c>
      <c r="I152">
        <f>IF(H152="OVERDUE",TODAY()-E152,"")</f>
        <v/>
      </c>
    </row>
    <row r="153">
      <c r="A153" s="4" t="n"/>
      <c r="B153" s="4" t="n"/>
      <c r="C153" s="19" t="n"/>
      <c r="D153" s="4" t="n"/>
      <c r="E153" s="9">
        <f>IF(OR(C153="",D153=""),"",C153+D153)</f>
        <v/>
      </c>
      <c r="F153" s="12" t="n"/>
      <c r="G153" s="19" t="n"/>
      <c r="H153">
        <f>IF(A153="","",IF(G153&lt;&gt;"","Paid",IF(TODAY()&gt;E153,"OVERDUE","Awaiting payment")))</f>
        <v/>
      </c>
      <c r="I153">
        <f>IF(H153="OVERDUE",TODAY()-E153,"")</f>
        <v/>
      </c>
    </row>
    <row r="154">
      <c r="A154" s="4" t="n"/>
      <c r="B154" s="4" t="n"/>
      <c r="C154" s="19" t="n"/>
      <c r="D154" s="4" t="n"/>
      <c r="E154" s="9">
        <f>IF(OR(C154="",D154=""),"",C154+D154)</f>
        <v/>
      </c>
      <c r="F154" s="12" t="n"/>
      <c r="G154" s="19" t="n"/>
      <c r="H154">
        <f>IF(A154="","",IF(G154&lt;&gt;"","Paid",IF(TODAY()&gt;E154,"OVERDUE","Awaiting payment")))</f>
        <v/>
      </c>
      <c r="I154">
        <f>IF(H154="OVERDUE",TODAY()-E154,"")</f>
        <v/>
      </c>
    </row>
    <row r="155">
      <c r="A155" s="4" t="n"/>
      <c r="B155" s="4" t="n"/>
      <c r="C155" s="19" t="n"/>
      <c r="D155" s="4" t="n"/>
      <c r="E155" s="9">
        <f>IF(OR(C155="",D155=""),"",C155+D155)</f>
        <v/>
      </c>
      <c r="F155" s="12" t="n"/>
      <c r="G155" s="19" t="n"/>
      <c r="H155">
        <f>IF(A155="","",IF(G155&lt;&gt;"","Paid",IF(TODAY()&gt;E155,"OVERDUE","Awaiting payment")))</f>
        <v/>
      </c>
      <c r="I155">
        <f>IF(H155="OVERDUE",TODAY()-E155,"")</f>
        <v/>
      </c>
    </row>
    <row r="156">
      <c r="A156" s="4" t="n"/>
      <c r="B156" s="4" t="n"/>
      <c r="C156" s="19" t="n"/>
      <c r="D156" s="4" t="n"/>
      <c r="E156" s="9">
        <f>IF(OR(C156="",D156=""),"",C156+D156)</f>
        <v/>
      </c>
      <c r="F156" s="12" t="n"/>
      <c r="G156" s="19" t="n"/>
      <c r="H156">
        <f>IF(A156="","",IF(G156&lt;&gt;"","Paid",IF(TODAY()&gt;E156,"OVERDUE","Awaiting payment")))</f>
        <v/>
      </c>
      <c r="I156">
        <f>IF(H156="OVERDUE",TODAY()-E156,"")</f>
        <v/>
      </c>
    </row>
    <row r="157">
      <c r="A157" s="4" t="n"/>
      <c r="B157" s="4" t="n"/>
      <c r="C157" s="19" t="n"/>
      <c r="D157" s="4" t="n"/>
      <c r="E157" s="9">
        <f>IF(OR(C157="",D157=""),"",C157+D157)</f>
        <v/>
      </c>
      <c r="F157" s="12" t="n"/>
      <c r="G157" s="19" t="n"/>
      <c r="H157">
        <f>IF(A157="","",IF(G157&lt;&gt;"","Paid",IF(TODAY()&gt;E157,"OVERDUE","Awaiting payment")))</f>
        <v/>
      </c>
      <c r="I157">
        <f>IF(H157="OVERDUE",TODAY()-E157,"")</f>
        <v/>
      </c>
    </row>
    <row r="158">
      <c r="A158" s="4" t="n"/>
      <c r="B158" s="4" t="n"/>
      <c r="C158" s="19" t="n"/>
      <c r="D158" s="4" t="n"/>
      <c r="E158" s="9">
        <f>IF(OR(C158="",D158=""),"",C158+D158)</f>
        <v/>
      </c>
      <c r="F158" s="12" t="n"/>
      <c r="G158" s="19" t="n"/>
      <c r="H158">
        <f>IF(A158="","",IF(G158&lt;&gt;"","Paid",IF(TODAY()&gt;E158,"OVERDUE","Awaiting payment")))</f>
        <v/>
      </c>
      <c r="I158">
        <f>IF(H158="OVERDUE",TODAY()-E158,"")</f>
        <v/>
      </c>
    </row>
    <row r="159">
      <c r="A159" s="4" t="n"/>
      <c r="B159" s="4" t="n"/>
      <c r="C159" s="19" t="n"/>
      <c r="D159" s="4" t="n"/>
      <c r="E159" s="9">
        <f>IF(OR(C159="",D159=""),"",C159+D159)</f>
        <v/>
      </c>
      <c r="F159" s="12" t="n"/>
      <c r="G159" s="19" t="n"/>
      <c r="H159">
        <f>IF(A159="","",IF(G159&lt;&gt;"","Paid",IF(TODAY()&gt;E159,"OVERDUE","Awaiting payment")))</f>
        <v/>
      </c>
      <c r="I159">
        <f>IF(H159="OVERDUE",TODAY()-E159,"")</f>
        <v/>
      </c>
    </row>
    <row r="160">
      <c r="A160" s="4" t="n"/>
      <c r="B160" s="4" t="n"/>
      <c r="C160" s="19" t="n"/>
      <c r="D160" s="4" t="n"/>
      <c r="E160" s="9">
        <f>IF(OR(C160="",D160=""),"",C160+D160)</f>
        <v/>
      </c>
      <c r="F160" s="12" t="n"/>
      <c r="G160" s="19" t="n"/>
      <c r="H160">
        <f>IF(A160="","",IF(G160&lt;&gt;"","Paid",IF(TODAY()&gt;E160,"OVERDUE","Awaiting payment")))</f>
        <v/>
      </c>
      <c r="I160">
        <f>IF(H160="OVERDUE",TODAY()-E160,"")</f>
        <v/>
      </c>
    </row>
    <row r="161">
      <c r="A161" s="4" t="n"/>
      <c r="B161" s="4" t="n"/>
      <c r="C161" s="19" t="n"/>
      <c r="D161" s="4" t="n"/>
      <c r="E161" s="9">
        <f>IF(OR(C161="",D161=""),"",C161+D161)</f>
        <v/>
      </c>
      <c r="F161" s="12" t="n"/>
      <c r="G161" s="19" t="n"/>
      <c r="H161">
        <f>IF(A161="","",IF(G161&lt;&gt;"","Paid",IF(TODAY()&gt;E161,"OVERDUE","Awaiting payment")))</f>
        <v/>
      </c>
      <c r="I161">
        <f>IF(H161="OVERDUE",TODAY()-E161,"")</f>
        <v/>
      </c>
    </row>
    <row r="162">
      <c r="A162" s="4" t="n"/>
      <c r="B162" s="4" t="n"/>
      <c r="C162" s="19" t="n"/>
      <c r="D162" s="4" t="n"/>
      <c r="E162" s="9">
        <f>IF(OR(C162="",D162=""),"",C162+D162)</f>
        <v/>
      </c>
      <c r="F162" s="12" t="n"/>
      <c r="G162" s="19" t="n"/>
      <c r="H162">
        <f>IF(A162="","",IF(G162&lt;&gt;"","Paid",IF(TODAY()&gt;E162,"OVERDUE","Awaiting payment")))</f>
        <v/>
      </c>
      <c r="I162">
        <f>IF(H162="OVERDUE",TODAY()-E162,"")</f>
        <v/>
      </c>
    </row>
    <row r="163">
      <c r="A163" s="4" t="n"/>
      <c r="B163" s="4" t="n"/>
      <c r="C163" s="19" t="n"/>
      <c r="D163" s="4" t="n"/>
      <c r="E163" s="9">
        <f>IF(OR(C163="",D163=""),"",C163+D163)</f>
        <v/>
      </c>
      <c r="F163" s="12" t="n"/>
      <c r="G163" s="19" t="n"/>
      <c r="H163">
        <f>IF(A163="","",IF(G163&lt;&gt;"","Paid",IF(TODAY()&gt;E163,"OVERDUE","Awaiting payment")))</f>
        <v/>
      </c>
      <c r="I163">
        <f>IF(H163="OVERDUE",TODAY()-E163,"")</f>
        <v/>
      </c>
    </row>
    <row r="164">
      <c r="A164" s="4" t="n"/>
      <c r="B164" s="4" t="n"/>
      <c r="C164" s="19" t="n"/>
      <c r="D164" s="4" t="n"/>
      <c r="E164" s="9">
        <f>IF(OR(C164="",D164=""),"",C164+D164)</f>
        <v/>
      </c>
      <c r="F164" s="12" t="n"/>
      <c r="G164" s="19" t="n"/>
      <c r="H164">
        <f>IF(A164="","",IF(G164&lt;&gt;"","Paid",IF(TODAY()&gt;E164,"OVERDUE","Awaiting payment")))</f>
        <v/>
      </c>
      <c r="I164">
        <f>IF(H164="OVERDUE",TODAY()-E164,"")</f>
        <v/>
      </c>
    </row>
    <row r="165">
      <c r="A165" s="4" t="n"/>
      <c r="B165" s="4" t="n"/>
      <c r="C165" s="19" t="n"/>
      <c r="D165" s="4" t="n"/>
      <c r="E165" s="9">
        <f>IF(OR(C165="",D165=""),"",C165+D165)</f>
        <v/>
      </c>
      <c r="F165" s="12" t="n"/>
      <c r="G165" s="19" t="n"/>
      <c r="H165">
        <f>IF(A165="","",IF(G165&lt;&gt;"","Paid",IF(TODAY()&gt;E165,"OVERDUE","Awaiting payment")))</f>
        <v/>
      </c>
      <c r="I165">
        <f>IF(H165="OVERDUE",TODAY()-E165,"")</f>
        <v/>
      </c>
    </row>
    <row r="166">
      <c r="A166" s="4" t="n"/>
      <c r="B166" s="4" t="n"/>
      <c r="C166" s="19" t="n"/>
      <c r="D166" s="4" t="n"/>
      <c r="E166" s="9">
        <f>IF(OR(C166="",D166=""),"",C166+D166)</f>
        <v/>
      </c>
      <c r="F166" s="12" t="n"/>
      <c r="G166" s="19" t="n"/>
      <c r="H166">
        <f>IF(A166="","",IF(G166&lt;&gt;"","Paid",IF(TODAY()&gt;E166,"OVERDUE","Awaiting payment")))</f>
        <v/>
      </c>
      <c r="I166">
        <f>IF(H166="OVERDUE",TODAY()-E166,"")</f>
        <v/>
      </c>
    </row>
    <row r="167">
      <c r="A167" s="4" t="n"/>
      <c r="B167" s="4" t="n"/>
      <c r="C167" s="19" t="n"/>
      <c r="D167" s="4" t="n"/>
      <c r="E167" s="9">
        <f>IF(OR(C167="",D167=""),"",C167+D167)</f>
        <v/>
      </c>
      <c r="F167" s="12" t="n"/>
      <c r="G167" s="19" t="n"/>
      <c r="H167">
        <f>IF(A167="","",IF(G167&lt;&gt;"","Paid",IF(TODAY()&gt;E167,"OVERDUE","Awaiting payment")))</f>
        <v/>
      </c>
      <c r="I167">
        <f>IF(H167="OVERDUE",TODAY()-E167,"")</f>
        <v/>
      </c>
    </row>
    <row r="168">
      <c r="A168" s="4" t="n"/>
      <c r="B168" s="4" t="n"/>
      <c r="C168" s="19" t="n"/>
      <c r="D168" s="4" t="n"/>
      <c r="E168" s="9">
        <f>IF(OR(C168="",D168=""),"",C168+D168)</f>
        <v/>
      </c>
      <c r="F168" s="12" t="n"/>
      <c r="G168" s="19" t="n"/>
      <c r="H168">
        <f>IF(A168="","",IF(G168&lt;&gt;"","Paid",IF(TODAY()&gt;E168,"OVERDUE","Awaiting payment")))</f>
        <v/>
      </c>
      <c r="I168">
        <f>IF(H168="OVERDUE",TODAY()-E168,"")</f>
        <v/>
      </c>
    </row>
    <row r="169">
      <c r="A169" s="4" t="n"/>
      <c r="B169" s="4" t="n"/>
      <c r="C169" s="19" t="n"/>
      <c r="D169" s="4" t="n"/>
      <c r="E169" s="9">
        <f>IF(OR(C169="",D169=""),"",C169+D169)</f>
        <v/>
      </c>
      <c r="F169" s="12" t="n"/>
      <c r="G169" s="19" t="n"/>
      <c r="H169">
        <f>IF(A169="","",IF(G169&lt;&gt;"","Paid",IF(TODAY()&gt;E169,"OVERDUE","Awaiting payment")))</f>
        <v/>
      </c>
      <c r="I169">
        <f>IF(H169="OVERDUE",TODAY()-E169,"")</f>
        <v/>
      </c>
    </row>
    <row r="170">
      <c r="A170" s="4" t="n"/>
      <c r="B170" s="4" t="n"/>
      <c r="C170" s="19" t="n"/>
      <c r="D170" s="4" t="n"/>
      <c r="E170" s="9">
        <f>IF(OR(C170="",D170=""),"",C170+D170)</f>
        <v/>
      </c>
      <c r="F170" s="12" t="n"/>
      <c r="G170" s="19" t="n"/>
      <c r="H170">
        <f>IF(A170="","",IF(G170&lt;&gt;"","Paid",IF(TODAY()&gt;E170,"OVERDUE","Awaiting payment")))</f>
        <v/>
      </c>
      <c r="I170">
        <f>IF(H170="OVERDUE",TODAY()-E170,"")</f>
        <v/>
      </c>
    </row>
    <row r="171">
      <c r="A171" s="4" t="n"/>
      <c r="B171" s="4" t="n"/>
      <c r="C171" s="19" t="n"/>
      <c r="D171" s="4" t="n"/>
      <c r="E171" s="9">
        <f>IF(OR(C171="",D171=""),"",C171+D171)</f>
        <v/>
      </c>
      <c r="F171" s="12" t="n"/>
      <c r="G171" s="19" t="n"/>
      <c r="H171">
        <f>IF(A171="","",IF(G171&lt;&gt;"","Paid",IF(TODAY()&gt;E171,"OVERDUE","Awaiting payment")))</f>
        <v/>
      </c>
      <c r="I171">
        <f>IF(H171="OVERDUE",TODAY()-E171,"")</f>
        <v/>
      </c>
    </row>
    <row r="172">
      <c r="A172" s="4" t="n"/>
      <c r="B172" s="4" t="n"/>
      <c r="C172" s="19" t="n"/>
      <c r="D172" s="4" t="n"/>
      <c r="E172" s="9">
        <f>IF(OR(C172="",D172=""),"",C172+D172)</f>
        <v/>
      </c>
      <c r="F172" s="12" t="n"/>
      <c r="G172" s="19" t="n"/>
      <c r="H172">
        <f>IF(A172="","",IF(G172&lt;&gt;"","Paid",IF(TODAY()&gt;E172,"OVERDUE","Awaiting payment")))</f>
        <v/>
      </c>
      <c r="I172">
        <f>IF(H172="OVERDUE",TODAY()-E172,"")</f>
        <v/>
      </c>
    </row>
    <row r="173">
      <c r="A173" s="4" t="n"/>
      <c r="B173" s="4" t="n"/>
      <c r="C173" s="19" t="n"/>
      <c r="D173" s="4" t="n"/>
      <c r="E173" s="9">
        <f>IF(OR(C173="",D173=""),"",C173+D173)</f>
        <v/>
      </c>
      <c r="F173" s="12" t="n"/>
      <c r="G173" s="19" t="n"/>
      <c r="H173">
        <f>IF(A173="","",IF(G173&lt;&gt;"","Paid",IF(TODAY()&gt;E173,"OVERDUE","Awaiting payment")))</f>
        <v/>
      </c>
      <c r="I173">
        <f>IF(H173="OVERDUE",TODAY()-E173,"")</f>
        <v/>
      </c>
    </row>
    <row r="174">
      <c r="A174" s="4" t="n"/>
      <c r="B174" s="4" t="n"/>
      <c r="C174" s="19" t="n"/>
      <c r="D174" s="4" t="n"/>
      <c r="E174" s="9">
        <f>IF(OR(C174="",D174=""),"",C174+D174)</f>
        <v/>
      </c>
      <c r="F174" s="12" t="n"/>
      <c r="G174" s="19" t="n"/>
      <c r="H174">
        <f>IF(A174="","",IF(G174&lt;&gt;"","Paid",IF(TODAY()&gt;E174,"OVERDUE","Awaiting payment")))</f>
        <v/>
      </c>
      <c r="I174">
        <f>IF(H174="OVERDUE",TODAY()-E174,"")</f>
        <v/>
      </c>
    </row>
    <row r="175">
      <c r="A175" s="4" t="n"/>
      <c r="B175" s="4" t="n"/>
      <c r="C175" s="19" t="n"/>
      <c r="D175" s="4" t="n"/>
      <c r="E175" s="9">
        <f>IF(OR(C175="",D175=""),"",C175+D175)</f>
        <v/>
      </c>
      <c r="F175" s="12" t="n"/>
      <c r="G175" s="19" t="n"/>
      <c r="H175">
        <f>IF(A175="","",IF(G175&lt;&gt;"","Paid",IF(TODAY()&gt;E175,"OVERDUE","Awaiting payment")))</f>
        <v/>
      </c>
      <c r="I175">
        <f>IF(H175="OVERDUE",TODAY()-E175,"")</f>
        <v/>
      </c>
    </row>
    <row r="176">
      <c r="A176" s="4" t="n"/>
      <c r="B176" s="4" t="n"/>
      <c r="C176" s="19" t="n"/>
      <c r="D176" s="4" t="n"/>
      <c r="E176" s="9">
        <f>IF(OR(C176="",D176=""),"",C176+D176)</f>
        <v/>
      </c>
      <c r="F176" s="12" t="n"/>
      <c r="G176" s="19" t="n"/>
      <c r="H176">
        <f>IF(A176="","",IF(G176&lt;&gt;"","Paid",IF(TODAY()&gt;E176,"OVERDUE","Awaiting payment")))</f>
        <v/>
      </c>
      <c r="I176">
        <f>IF(H176="OVERDUE",TODAY()-E176,"")</f>
        <v/>
      </c>
    </row>
    <row r="177">
      <c r="A177" s="4" t="n"/>
      <c r="B177" s="4" t="n"/>
      <c r="C177" s="19" t="n"/>
      <c r="D177" s="4" t="n"/>
      <c r="E177" s="9">
        <f>IF(OR(C177="",D177=""),"",C177+D177)</f>
        <v/>
      </c>
      <c r="F177" s="12" t="n"/>
      <c r="G177" s="19" t="n"/>
      <c r="H177">
        <f>IF(A177="","",IF(G177&lt;&gt;"","Paid",IF(TODAY()&gt;E177,"OVERDUE","Awaiting payment")))</f>
        <v/>
      </c>
      <c r="I177">
        <f>IF(H177="OVERDUE",TODAY()-E177,"")</f>
        <v/>
      </c>
    </row>
    <row r="178">
      <c r="A178" s="4" t="n"/>
      <c r="B178" s="4" t="n"/>
      <c r="C178" s="19" t="n"/>
      <c r="D178" s="4" t="n"/>
      <c r="E178" s="9">
        <f>IF(OR(C178="",D178=""),"",C178+D178)</f>
        <v/>
      </c>
      <c r="F178" s="12" t="n"/>
      <c r="G178" s="19" t="n"/>
      <c r="H178">
        <f>IF(A178="","",IF(G178&lt;&gt;"","Paid",IF(TODAY()&gt;E178,"OVERDUE","Awaiting payment")))</f>
        <v/>
      </c>
      <c r="I178">
        <f>IF(H178="OVERDUE",TODAY()-E178,"")</f>
        <v/>
      </c>
    </row>
    <row r="179">
      <c r="A179" s="4" t="n"/>
      <c r="B179" s="4" t="n"/>
      <c r="C179" s="19" t="n"/>
      <c r="D179" s="4" t="n"/>
      <c r="E179" s="9">
        <f>IF(OR(C179="",D179=""),"",C179+D179)</f>
        <v/>
      </c>
      <c r="F179" s="12" t="n"/>
      <c r="G179" s="19" t="n"/>
      <c r="H179">
        <f>IF(A179="","",IF(G179&lt;&gt;"","Paid",IF(TODAY()&gt;E179,"OVERDUE","Awaiting payment")))</f>
        <v/>
      </c>
      <c r="I179">
        <f>IF(H179="OVERDUE",TODAY()-E179,"")</f>
        <v/>
      </c>
    </row>
    <row r="180">
      <c r="A180" s="4" t="n"/>
      <c r="B180" s="4" t="n"/>
      <c r="C180" s="19" t="n"/>
      <c r="D180" s="4" t="n"/>
      <c r="E180" s="9">
        <f>IF(OR(C180="",D180=""),"",C180+D180)</f>
        <v/>
      </c>
      <c r="F180" s="12" t="n"/>
      <c r="G180" s="19" t="n"/>
      <c r="H180">
        <f>IF(A180="","",IF(G180&lt;&gt;"","Paid",IF(TODAY()&gt;E180,"OVERDUE","Awaiting payment")))</f>
        <v/>
      </c>
      <c r="I180">
        <f>IF(H180="OVERDUE",TODAY()-E180,"")</f>
        <v/>
      </c>
    </row>
    <row r="181">
      <c r="A181" s="4" t="n"/>
      <c r="B181" s="4" t="n"/>
      <c r="C181" s="19" t="n"/>
      <c r="D181" s="4" t="n"/>
      <c r="E181" s="9">
        <f>IF(OR(C181="",D181=""),"",C181+D181)</f>
        <v/>
      </c>
      <c r="F181" s="12" t="n"/>
      <c r="G181" s="19" t="n"/>
      <c r="H181">
        <f>IF(A181="","",IF(G181&lt;&gt;"","Paid",IF(TODAY()&gt;E181,"OVERDUE","Awaiting payment")))</f>
        <v/>
      </c>
      <c r="I181">
        <f>IF(H181="OVERDUE",TODAY()-E181,"")</f>
        <v/>
      </c>
    </row>
    <row r="182">
      <c r="A182" s="4" t="n"/>
      <c r="B182" s="4" t="n"/>
      <c r="C182" s="19" t="n"/>
      <c r="D182" s="4" t="n"/>
      <c r="E182" s="9">
        <f>IF(OR(C182="",D182=""),"",C182+D182)</f>
        <v/>
      </c>
      <c r="F182" s="12" t="n"/>
      <c r="G182" s="19" t="n"/>
      <c r="H182">
        <f>IF(A182="","",IF(G182&lt;&gt;"","Paid",IF(TODAY()&gt;E182,"OVERDUE","Awaiting payment")))</f>
        <v/>
      </c>
      <c r="I182">
        <f>IF(H182="OVERDUE",TODAY()-E182,"")</f>
        <v/>
      </c>
    </row>
    <row r="183">
      <c r="A183" s="4" t="n"/>
      <c r="B183" s="4" t="n"/>
      <c r="C183" s="19" t="n"/>
      <c r="D183" s="4" t="n"/>
      <c r="E183" s="9">
        <f>IF(OR(C183="",D183=""),"",C183+D183)</f>
        <v/>
      </c>
      <c r="F183" s="12" t="n"/>
      <c r="G183" s="19" t="n"/>
      <c r="H183">
        <f>IF(A183="","",IF(G183&lt;&gt;"","Paid",IF(TODAY()&gt;E183,"OVERDUE","Awaiting payment")))</f>
        <v/>
      </c>
      <c r="I183">
        <f>IF(H183="OVERDUE",TODAY()-E183,"")</f>
        <v/>
      </c>
    </row>
    <row r="184">
      <c r="A184" s="4" t="n"/>
      <c r="B184" s="4" t="n"/>
      <c r="C184" s="19" t="n"/>
      <c r="D184" s="4" t="n"/>
      <c r="E184" s="9">
        <f>IF(OR(C184="",D184=""),"",C184+D184)</f>
        <v/>
      </c>
      <c r="F184" s="12" t="n"/>
      <c r="G184" s="19" t="n"/>
      <c r="H184">
        <f>IF(A184="","",IF(G184&lt;&gt;"","Paid",IF(TODAY()&gt;E184,"OVERDUE","Awaiting payment")))</f>
        <v/>
      </c>
      <c r="I184">
        <f>IF(H184="OVERDUE",TODAY()-E184,"")</f>
        <v/>
      </c>
    </row>
    <row r="185">
      <c r="A185" s="4" t="n"/>
      <c r="B185" s="4" t="n"/>
      <c r="C185" s="19" t="n"/>
      <c r="D185" s="4" t="n"/>
      <c r="E185" s="9">
        <f>IF(OR(C185="",D185=""),"",C185+D185)</f>
        <v/>
      </c>
      <c r="F185" s="12" t="n"/>
      <c r="G185" s="19" t="n"/>
      <c r="H185">
        <f>IF(A185="","",IF(G185&lt;&gt;"","Paid",IF(TODAY()&gt;E185,"OVERDUE","Awaiting payment")))</f>
        <v/>
      </c>
      <c r="I185">
        <f>IF(H185="OVERDUE",TODAY()-E185,"")</f>
        <v/>
      </c>
    </row>
    <row r="186">
      <c r="A186" s="4" t="n"/>
      <c r="B186" s="4" t="n"/>
      <c r="C186" s="19" t="n"/>
      <c r="D186" s="4" t="n"/>
      <c r="E186" s="9">
        <f>IF(OR(C186="",D186=""),"",C186+D186)</f>
        <v/>
      </c>
      <c r="F186" s="12" t="n"/>
      <c r="G186" s="19" t="n"/>
      <c r="H186">
        <f>IF(A186="","",IF(G186&lt;&gt;"","Paid",IF(TODAY()&gt;E186,"OVERDUE","Awaiting payment")))</f>
        <v/>
      </c>
      <c r="I186">
        <f>IF(H186="OVERDUE",TODAY()-E186,"")</f>
        <v/>
      </c>
    </row>
    <row r="187">
      <c r="A187" s="4" t="n"/>
      <c r="B187" s="4" t="n"/>
      <c r="C187" s="19" t="n"/>
      <c r="D187" s="4" t="n"/>
      <c r="E187" s="9">
        <f>IF(OR(C187="",D187=""),"",C187+D187)</f>
        <v/>
      </c>
      <c r="F187" s="12" t="n"/>
      <c r="G187" s="19" t="n"/>
      <c r="H187">
        <f>IF(A187="","",IF(G187&lt;&gt;"","Paid",IF(TODAY()&gt;E187,"OVERDUE","Awaiting payment")))</f>
        <v/>
      </c>
      <c r="I187">
        <f>IF(H187="OVERDUE",TODAY()-E187,"")</f>
        <v/>
      </c>
    </row>
    <row r="188">
      <c r="A188" s="4" t="n"/>
      <c r="B188" s="4" t="n"/>
      <c r="C188" s="19" t="n"/>
      <c r="D188" s="4" t="n"/>
      <c r="E188" s="9">
        <f>IF(OR(C188="",D188=""),"",C188+D188)</f>
        <v/>
      </c>
      <c r="F188" s="12" t="n"/>
      <c r="G188" s="19" t="n"/>
      <c r="H188">
        <f>IF(A188="","",IF(G188&lt;&gt;"","Paid",IF(TODAY()&gt;E188,"OVERDUE","Awaiting payment")))</f>
        <v/>
      </c>
      <c r="I188">
        <f>IF(H188="OVERDUE",TODAY()-E188,"")</f>
        <v/>
      </c>
    </row>
    <row r="189">
      <c r="A189" s="4" t="n"/>
      <c r="B189" s="4" t="n"/>
      <c r="C189" s="19" t="n"/>
      <c r="D189" s="4" t="n"/>
      <c r="E189" s="9">
        <f>IF(OR(C189="",D189=""),"",C189+D189)</f>
        <v/>
      </c>
      <c r="F189" s="12" t="n"/>
      <c r="G189" s="19" t="n"/>
      <c r="H189">
        <f>IF(A189="","",IF(G189&lt;&gt;"","Paid",IF(TODAY()&gt;E189,"OVERDUE","Awaiting payment")))</f>
        <v/>
      </c>
      <c r="I189">
        <f>IF(H189="OVERDUE",TODAY()-E189,"")</f>
        <v/>
      </c>
    </row>
    <row r="190">
      <c r="A190" s="4" t="n"/>
      <c r="B190" s="4" t="n"/>
      <c r="C190" s="19" t="n"/>
      <c r="D190" s="4" t="n"/>
      <c r="E190" s="9">
        <f>IF(OR(C190="",D190=""),"",C190+D190)</f>
        <v/>
      </c>
      <c r="F190" s="12" t="n"/>
      <c r="G190" s="19" t="n"/>
      <c r="H190">
        <f>IF(A190="","",IF(G190&lt;&gt;"","Paid",IF(TODAY()&gt;E190,"OVERDUE","Awaiting payment")))</f>
        <v/>
      </c>
      <c r="I190">
        <f>IF(H190="OVERDUE",TODAY()-E190,"")</f>
        <v/>
      </c>
    </row>
    <row r="191">
      <c r="A191" s="4" t="n"/>
      <c r="B191" s="4" t="n"/>
      <c r="C191" s="19" t="n"/>
      <c r="D191" s="4" t="n"/>
      <c r="E191" s="9">
        <f>IF(OR(C191="",D191=""),"",C191+D191)</f>
        <v/>
      </c>
      <c r="F191" s="12" t="n"/>
      <c r="G191" s="19" t="n"/>
      <c r="H191">
        <f>IF(A191="","",IF(G191&lt;&gt;"","Paid",IF(TODAY()&gt;E191,"OVERDUE","Awaiting payment")))</f>
        <v/>
      </c>
      <c r="I191">
        <f>IF(H191="OVERDUE",TODAY()-E191,"")</f>
        <v/>
      </c>
    </row>
    <row r="192">
      <c r="A192" s="4" t="n"/>
      <c r="B192" s="4" t="n"/>
      <c r="C192" s="19" t="n"/>
      <c r="D192" s="4" t="n"/>
      <c r="E192" s="9">
        <f>IF(OR(C192="",D192=""),"",C192+D192)</f>
        <v/>
      </c>
      <c r="F192" s="12" t="n"/>
      <c r="G192" s="19" t="n"/>
      <c r="H192">
        <f>IF(A192="","",IF(G192&lt;&gt;"","Paid",IF(TODAY()&gt;E192,"OVERDUE","Awaiting payment")))</f>
        <v/>
      </c>
      <c r="I192">
        <f>IF(H192="OVERDUE",TODAY()-E192,"")</f>
        <v/>
      </c>
    </row>
    <row r="193">
      <c r="A193" s="4" t="n"/>
      <c r="B193" s="4" t="n"/>
      <c r="C193" s="19" t="n"/>
      <c r="D193" s="4" t="n"/>
      <c r="E193" s="9">
        <f>IF(OR(C193="",D193=""),"",C193+D193)</f>
        <v/>
      </c>
      <c r="F193" s="12" t="n"/>
      <c r="G193" s="19" t="n"/>
      <c r="H193">
        <f>IF(A193="","",IF(G193&lt;&gt;"","Paid",IF(TODAY()&gt;E193,"OVERDUE","Awaiting payment")))</f>
        <v/>
      </c>
      <c r="I193">
        <f>IF(H193="OVERDUE",TODAY()-E193,"")</f>
        <v/>
      </c>
    </row>
    <row r="194">
      <c r="A194" s="4" t="n"/>
      <c r="B194" s="4" t="n"/>
      <c r="C194" s="19" t="n"/>
      <c r="D194" s="4" t="n"/>
      <c r="E194" s="9">
        <f>IF(OR(C194="",D194=""),"",C194+D194)</f>
        <v/>
      </c>
      <c r="F194" s="12" t="n"/>
      <c r="G194" s="19" t="n"/>
      <c r="H194">
        <f>IF(A194="","",IF(G194&lt;&gt;"","Paid",IF(TODAY()&gt;E194,"OVERDUE","Awaiting payment")))</f>
        <v/>
      </c>
      <c r="I194">
        <f>IF(H194="OVERDUE",TODAY()-E194,"")</f>
        <v/>
      </c>
    </row>
    <row r="195">
      <c r="A195" s="4" t="n"/>
      <c r="B195" s="4" t="n"/>
      <c r="C195" s="19" t="n"/>
      <c r="D195" s="4" t="n"/>
      <c r="E195" s="9">
        <f>IF(OR(C195="",D195=""),"",C195+D195)</f>
        <v/>
      </c>
      <c r="F195" s="12" t="n"/>
      <c r="G195" s="19" t="n"/>
      <c r="H195">
        <f>IF(A195="","",IF(G195&lt;&gt;"","Paid",IF(TODAY()&gt;E195,"OVERDUE","Awaiting payment")))</f>
        <v/>
      </c>
      <c r="I195">
        <f>IF(H195="OVERDUE",TODAY()-E195,"")</f>
        <v/>
      </c>
    </row>
    <row r="196">
      <c r="A196" s="4" t="n"/>
      <c r="B196" s="4" t="n"/>
      <c r="C196" s="19" t="n"/>
      <c r="D196" s="4" t="n"/>
      <c r="E196" s="9">
        <f>IF(OR(C196="",D196=""),"",C196+D196)</f>
        <v/>
      </c>
      <c r="F196" s="12" t="n"/>
      <c r="G196" s="19" t="n"/>
      <c r="H196">
        <f>IF(A196="","",IF(G196&lt;&gt;"","Paid",IF(TODAY()&gt;E196,"OVERDUE","Awaiting payment")))</f>
        <v/>
      </c>
      <c r="I196">
        <f>IF(H196="OVERDUE",TODAY()-E196,"")</f>
        <v/>
      </c>
    </row>
    <row r="197">
      <c r="A197" s="4" t="n"/>
      <c r="B197" s="4" t="n"/>
      <c r="C197" s="19" t="n"/>
      <c r="D197" s="4" t="n"/>
      <c r="E197" s="9">
        <f>IF(OR(C197="",D197=""),"",C197+D197)</f>
        <v/>
      </c>
      <c r="F197" s="12" t="n"/>
      <c r="G197" s="19" t="n"/>
      <c r="H197">
        <f>IF(A197="","",IF(G197&lt;&gt;"","Paid",IF(TODAY()&gt;E197,"OVERDUE","Awaiting payment")))</f>
        <v/>
      </c>
      <c r="I197">
        <f>IF(H197="OVERDUE",TODAY()-E197,"")</f>
        <v/>
      </c>
    </row>
    <row r="198">
      <c r="A198" s="4" t="n"/>
      <c r="B198" s="4" t="n"/>
      <c r="C198" s="19" t="n"/>
      <c r="D198" s="4" t="n"/>
      <c r="E198" s="9">
        <f>IF(OR(C198="",D198=""),"",C198+D198)</f>
        <v/>
      </c>
      <c r="F198" s="12" t="n"/>
      <c r="G198" s="19" t="n"/>
      <c r="H198">
        <f>IF(A198="","",IF(G198&lt;&gt;"","Paid",IF(TODAY()&gt;E198,"OVERDUE","Awaiting payment")))</f>
        <v/>
      </c>
      <c r="I198">
        <f>IF(H198="OVERDUE",TODAY()-E198,"")</f>
        <v/>
      </c>
    </row>
    <row r="199">
      <c r="A199" s="4" t="n"/>
      <c r="B199" s="4" t="n"/>
      <c r="C199" s="19" t="n"/>
      <c r="D199" s="4" t="n"/>
      <c r="E199" s="9">
        <f>IF(OR(C199="",D199=""),"",C199+D199)</f>
        <v/>
      </c>
      <c r="F199" s="12" t="n"/>
      <c r="G199" s="19" t="n"/>
      <c r="H199">
        <f>IF(A199="","",IF(G199&lt;&gt;"","Paid",IF(TODAY()&gt;E199,"OVERDUE","Awaiting payment")))</f>
        <v/>
      </c>
      <c r="I199">
        <f>IF(H199="OVERDUE",TODAY()-E199,"")</f>
        <v/>
      </c>
    </row>
    <row r="200">
      <c r="A200" s="4" t="n"/>
      <c r="B200" s="4" t="n"/>
      <c r="C200" s="19" t="n"/>
      <c r="D200" s="4" t="n"/>
      <c r="E200" s="9">
        <f>IF(OR(C200="",D200=""),"",C200+D200)</f>
        <v/>
      </c>
      <c r="F200" s="12" t="n"/>
      <c r="G200" s="19" t="n"/>
      <c r="H200">
        <f>IF(A200="","",IF(G200&lt;&gt;"","Paid",IF(TODAY()&gt;E200,"OVERDUE","Awaiting payment")))</f>
        <v/>
      </c>
      <c r="I200">
        <f>IF(H200="OVERDUE",TODAY()-E200,"")</f>
        <v/>
      </c>
    </row>
    <row r="201">
      <c r="A201" s="4" t="n"/>
      <c r="B201" s="4" t="n"/>
      <c r="C201" s="19" t="n"/>
      <c r="D201" s="4" t="n"/>
      <c r="E201" s="9">
        <f>IF(OR(C201="",D201=""),"",C201+D201)</f>
        <v/>
      </c>
      <c r="F201" s="12" t="n"/>
      <c r="G201" s="19" t="n"/>
      <c r="H201">
        <f>IF(A201="","",IF(G201&lt;&gt;"","Paid",IF(TODAY()&gt;E201,"OVERDUE","Awaiting payment")))</f>
        <v/>
      </c>
      <c r="I201">
        <f>IF(H201="OVERDUE",TODAY()-E201,"")</f>
        <v/>
      </c>
    </row>
    <row r="202">
      <c r="A202" s="4" t="n"/>
      <c r="B202" s="4" t="n"/>
      <c r="C202" s="19" t="n"/>
      <c r="D202" s="4" t="n"/>
      <c r="E202" s="9">
        <f>IF(OR(C202="",D202=""),"",C202+D202)</f>
        <v/>
      </c>
      <c r="F202" s="12" t="n"/>
      <c r="G202" s="19" t="n"/>
      <c r="H202">
        <f>IF(A202="","",IF(G202&lt;&gt;"","Paid",IF(TODAY()&gt;E202,"OVERDUE","Awaiting payment")))</f>
        <v/>
      </c>
      <c r="I202">
        <f>IF(H202="OVERDUE",TODAY()-E202,"")</f>
        <v/>
      </c>
    </row>
    <row r="203">
      <c r="A203" s="4" t="n"/>
      <c r="B203" s="4" t="n"/>
      <c r="C203" s="19" t="n"/>
      <c r="D203" s="4" t="n"/>
      <c r="E203" s="9">
        <f>IF(OR(C203="",D203=""),"",C203+D203)</f>
        <v/>
      </c>
      <c r="F203" s="12" t="n"/>
      <c r="G203" s="19" t="n"/>
      <c r="H203">
        <f>IF(A203="","",IF(G203&lt;&gt;"","Paid",IF(TODAY()&gt;E203,"OVERDUE","Awaiting payment")))</f>
        <v/>
      </c>
      <c r="I203">
        <f>IF(H203="OVERDUE",TODAY()-E203,"")</f>
        <v/>
      </c>
    </row>
    <row r="204">
      <c r="A204" s="4" t="n"/>
      <c r="B204" s="4" t="n"/>
      <c r="C204" s="19" t="n"/>
      <c r="D204" s="4" t="n"/>
      <c r="E204" s="9">
        <f>IF(OR(C204="",D204=""),"",C204+D204)</f>
        <v/>
      </c>
      <c r="F204" s="12" t="n"/>
      <c r="G204" s="19" t="n"/>
      <c r="H204">
        <f>IF(A204="","",IF(G204&lt;&gt;"","Paid",IF(TODAY()&gt;E204,"OVERDUE","Awaiting payment")))</f>
        <v/>
      </c>
      <c r="I204">
        <f>IF(H204="OVERDUE",TODAY()-E204,"")</f>
        <v/>
      </c>
    </row>
    <row r="205">
      <c r="A205" s="4" t="n"/>
      <c r="B205" s="4" t="n"/>
      <c r="C205" s="19" t="n"/>
      <c r="D205" s="4" t="n"/>
      <c r="E205" s="9">
        <f>IF(OR(C205="",D205=""),"",C205+D205)</f>
        <v/>
      </c>
      <c r="F205" s="12" t="n"/>
      <c r="G205" s="19" t="n"/>
      <c r="H205">
        <f>IF(A205="","",IF(G205&lt;&gt;"","Paid",IF(TODAY()&gt;E205,"OVERDUE","Awaiting payment")))</f>
        <v/>
      </c>
      <c r="I205">
        <f>IF(H205="OVERDUE",TODAY()-E205,"")</f>
        <v/>
      </c>
    </row>
    <row r="206">
      <c r="A206" s="4" t="n"/>
      <c r="B206" s="4" t="n"/>
      <c r="C206" s="19" t="n"/>
      <c r="D206" s="4" t="n"/>
      <c r="E206" s="9">
        <f>IF(OR(C206="",D206=""),"",C206+D206)</f>
        <v/>
      </c>
      <c r="F206" s="12" t="n"/>
      <c r="G206" s="19" t="n"/>
      <c r="H206">
        <f>IF(A206="","",IF(G206&lt;&gt;"","Paid",IF(TODAY()&gt;E206,"OVERDUE","Awaiting payment")))</f>
        <v/>
      </c>
      <c r="I206">
        <f>IF(H206="OVERDUE",TODAY()-E206,"")</f>
        <v/>
      </c>
    </row>
    <row r="207">
      <c r="A207" s="4" t="n"/>
      <c r="B207" s="4" t="n"/>
      <c r="C207" s="19" t="n"/>
      <c r="D207" s="4" t="n"/>
      <c r="E207" s="9">
        <f>IF(OR(C207="",D207=""),"",C207+D207)</f>
        <v/>
      </c>
      <c r="F207" s="12" t="n"/>
      <c r="G207" s="19" t="n"/>
      <c r="H207">
        <f>IF(A207="","",IF(G207&lt;&gt;"","Paid",IF(TODAY()&gt;E207,"OVERDUE","Awaiting payment")))</f>
        <v/>
      </c>
      <c r="I207">
        <f>IF(H207="OVERDUE",TODAY()-E207,"")</f>
        <v/>
      </c>
    </row>
    <row r="208">
      <c r="A208" s="4" t="n"/>
      <c r="B208" s="4" t="n"/>
      <c r="C208" s="19" t="n"/>
      <c r="D208" s="4" t="n"/>
      <c r="E208" s="9">
        <f>IF(OR(C208="",D208=""),"",C208+D208)</f>
        <v/>
      </c>
      <c r="F208" s="12" t="n"/>
      <c r="G208" s="19" t="n"/>
      <c r="H208">
        <f>IF(A208="","",IF(G208&lt;&gt;"","Paid",IF(TODAY()&gt;E208,"OVERDUE","Awaiting payment")))</f>
        <v/>
      </c>
      <c r="I208">
        <f>IF(H208="OVERDUE",TODAY()-E208,"")</f>
        <v/>
      </c>
    </row>
    <row r="209">
      <c r="A209" s="4" t="n"/>
      <c r="B209" s="4" t="n"/>
      <c r="C209" s="19" t="n"/>
      <c r="D209" s="4" t="n"/>
      <c r="E209" s="9">
        <f>IF(OR(C209="",D209=""),"",C209+D209)</f>
        <v/>
      </c>
      <c r="F209" s="12" t="n"/>
      <c r="G209" s="19" t="n"/>
      <c r="H209">
        <f>IF(A209="","",IF(G209&lt;&gt;"","Paid",IF(TODAY()&gt;E209,"OVERDUE","Awaiting payment")))</f>
        <v/>
      </c>
      <c r="I209">
        <f>IF(H209="OVERDUE",TODAY()-E209,"")</f>
        <v/>
      </c>
    </row>
    <row r="210">
      <c r="A210" s="4" t="n"/>
      <c r="B210" s="4" t="n"/>
      <c r="C210" s="19" t="n"/>
      <c r="D210" s="4" t="n"/>
      <c r="E210" s="9">
        <f>IF(OR(C210="",D210=""),"",C210+D210)</f>
        <v/>
      </c>
      <c r="F210" s="12" t="n"/>
      <c r="G210" s="19" t="n"/>
      <c r="H210">
        <f>IF(A210="","",IF(G210&lt;&gt;"","Paid",IF(TODAY()&gt;E210,"OVERDUE","Awaiting payment")))</f>
        <v/>
      </c>
      <c r="I210">
        <f>IF(H210="OVERDUE",TODAY()-E210,"")</f>
        <v/>
      </c>
    </row>
    <row r="211">
      <c r="A211" s="4" t="n"/>
      <c r="B211" s="4" t="n"/>
      <c r="C211" s="19" t="n"/>
      <c r="D211" s="4" t="n"/>
      <c r="E211" s="9">
        <f>IF(OR(C211="",D211=""),"",C211+D211)</f>
        <v/>
      </c>
      <c r="F211" s="12" t="n"/>
      <c r="G211" s="19" t="n"/>
      <c r="H211">
        <f>IF(A211="","",IF(G211&lt;&gt;"","Paid",IF(TODAY()&gt;E211,"OVERDUE","Awaiting payment")))</f>
        <v/>
      </c>
      <c r="I211">
        <f>IF(H211="OVERDUE",TODAY()-E211,"")</f>
        <v/>
      </c>
    </row>
    <row r="212">
      <c r="A212" s="4" t="n"/>
      <c r="B212" s="4" t="n"/>
      <c r="C212" s="19" t="n"/>
      <c r="D212" s="4" t="n"/>
      <c r="E212" s="9">
        <f>IF(OR(C212="",D212=""),"",C212+D212)</f>
        <v/>
      </c>
      <c r="F212" s="12" t="n"/>
      <c r="G212" s="19" t="n"/>
      <c r="H212">
        <f>IF(A212="","",IF(G212&lt;&gt;"","Paid",IF(TODAY()&gt;E212,"OVERDUE","Awaiting payment")))</f>
        <v/>
      </c>
      <c r="I212">
        <f>IF(H212="OVERDUE",TODAY()-E212,"")</f>
        <v/>
      </c>
    </row>
    <row r="213">
      <c r="A213" s="4" t="n"/>
      <c r="B213" s="4" t="n"/>
      <c r="C213" s="19" t="n"/>
      <c r="D213" s="4" t="n"/>
      <c r="E213" s="9">
        <f>IF(OR(C213="",D213=""),"",C213+D213)</f>
        <v/>
      </c>
      <c r="F213" s="12" t="n"/>
      <c r="G213" s="19" t="n"/>
      <c r="H213">
        <f>IF(A213="","",IF(G213&lt;&gt;"","Paid",IF(TODAY()&gt;E213,"OVERDUE","Awaiting payment")))</f>
        <v/>
      </c>
      <c r="I213">
        <f>IF(H213="OVERDUE",TODAY()-E213,"")</f>
        <v/>
      </c>
    </row>
    <row r="214">
      <c r="A214" s="4" t="n"/>
      <c r="B214" s="4" t="n"/>
      <c r="C214" s="19" t="n"/>
      <c r="D214" s="4" t="n"/>
      <c r="E214" s="9">
        <f>IF(OR(C214="",D214=""),"",C214+D214)</f>
        <v/>
      </c>
      <c r="F214" s="12" t="n"/>
      <c r="G214" s="19" t="n"/>
      <c r="H214">
        <f>IF(A214="","",IF(G214&lt;&gt;"","Paid",IF(TODAY()&gt;E214,"OVERDUE","Awaiting payment")))</f>
        <v/>
      </c>
      <c r="I214">
        <f>IF(H214="OVERDUE",TODAY()-E214,"")</f>
        <v/>
      </c>
    </row>
    <row r="215">
      <c r="A215" s="4" t="n"/>
      <c r="B215" s="4" t="n"/>
      <c r="C215" s="19" t="n"/>
      <c r="D215" s="4" t="n"/>
      <c r="E215" s="9">
        <f>IF(OR(C215="",D215=""),"",C215+D215)</f>
        <v/>
      </c>
      <c r="F215" s="12" t="n"/>
      <c r="G215" s="19" t="n"/>
      <c r="H215">
        <f>IF(A215="","",IF(G215&lt;&gt;"","Paid",IF(TODAY()&gt;E215,"OVERDUE","Awaiting payment")))</f>
        <v/>
      </c>
      <c r="I215">
        <f>IF(H215="OVERDUE",TODAY()-E215,"")</f>
        <v/>
      </c>
    </row>
    <row r="216">
      <c r="A216" s="4" t="n"/>
      <c r="B216" s="4" t="n"/>
      <c r="C216" s="19" t="n"/>
      <c r="D216" s="4" t="n"/>
      <c r="E216" s="9">
        <f>IF(OR(C216="",D216=""),"",C216+D216)</f>
        <v/>
      </c>
      <c r="F216" s="12" t="n"/>
      <c r="G216" s="19" t="n"/>
      <c r="H216">
        <f>IF(A216="","",IF(G216&lt;&gt;"","Paid",IF(TODAY()&gt;E216,"OVERDUE","Awaiting payment")))</f>
        <v/>
      </c>
      <c r="I216">
        <f>IF(H216="OVERDUE",TODAY()-E216,"")</f>
        <v/>
      </c>
    </row>
    <row r="217">
      <c r="A217" s="4" t="n"/>
      <c r="B217" s="4" t="n"/>
      <c r="C217" s="19" t="n"/>
      <c r="D217" s="4" t="n"/>
      <c r="E217" s="9">
        <f>IF(OR(C217="",D217=""),"",C217+D217)</f>
        <v/>
      </c>
      <c r="F217" s="12" t="n"/>
      <c r="G217" s="19" t="n"/>
      <c r="H217">
        <f>IF(A217="","",IF(G217&lt;&gt;"","Paid",IF(TODAY()&gt;E217,"OVERDUE","Awaiting payment")))</f>
        <v/>
      </c>
      <c r="I217">
        <f>IF(H217="OVERDUE",TODAY()-E217,"")</f>
        <v/>
      </c>
    </row>
    <row r="218">
      <c r="A218" s="4" t="n"/>
      <c r="B218" s="4" t="n"/>
      <c r="C218" s="19" t="n"/>
      <c r="D218" s="4" t="n"/>
      <c r="E218" s="9">
        <f>IF(OR(C218="",D218=""),"",C218+D218)</f>
        <v/>
      </c>
      <c r="F218" s="12" t="n"/>
      <c r="G218" s="19" t="n"/>
      <c r="H218">
        <f>IF(A218="","",IF(G218&lt;&gt;"","Paid",IF(TODAY()&gt;E218,"OVERDUE","Awaiting payment")))</f>
        <v/>
      </c>
      <c r="I218">
        <f>IF(H218="OVERDUE",TODAY()-E218,"")</f>
        <v/>
      </c>
    </row>
    <row r="219">
      <c r="A219" s="4" t="n"/>
      <c r="B219" s="4" t="n"/>
      <c r="C219" s="19" t="n"/>
      <c r="D219" s="4" t="n"/>
      <c r="E219" s="9">
        <f>IF(OR(C219="",D219=""),"",C219+D219)</f>
        <v/>
      </c>
      <c r="F219" s="12" t="n"/>
      <c r="G219" s="19" t="n"/>
      <c r="H219">
        <f>IF(A219="","",IF(G219&lt;&gt;"","Paid",IF(TODAY()&gt;E219,"OVERDUE","Awaiting payment")))</f>
        <v/>
      </c>
      <c r="I219">
        <f>IF(H219="OVERDUE",TODAY()-E219,"")</f>
        <v/>
      </c>
    </row>
    <row r="220">
      <c r="A220" s="4" t="n"/>
      <c r="B220" s="4" t="n"/>
      <c r="C220" s="19" t="n"/>
      <c r="D220" s="4" t="n"/>
      <c r="E220" s="9">
        <f>IF(OR(C220="",D220=""),"",C220+D220)</f>
        <v/>
      </c>
      <c r="F220" s="12" t="n"/>
      <c r="G220" s="19" t="n"/>
      <c r="H220">
        <f>IF(A220="","",IF(G220&lt;&gt;"","Paid",IF(TODAY()&gt;E220,"OVERDUE","Awaiting payment")))</f>
        <v/>
      </c>
      <c r="I220">
        <f>IF(H220="OVERDUE",TODAY()-E220,"")</f>
        <v/>
      </c>
    </row>
    <row r="221">
      <c r="A221" s="4" t="n"/>
      <c r="B221" s="4" t="n"/>
      <c r="C221" s="19" t="n"/>
      <c r="D221" s="4" t="n"/>
      <c r="E221" s="9">
        <f>IF(OR(C221="",D221=""),"",C221+D221)</f>
        <v/>
      </c>
      <c r="F221" s="12" t="n"/>
      <c r="G221" s="19" t="n"/>
      <c r="H221">
        <f>IF(A221="","",IF(G221&lt;&gt;"","Paid",IF(TODAY()&gt;E221,"OVERDUE","Awaiting payment")))</f>
        <v/>
      </c>
      <c r="I221">
        <f>IF(H221="OVERDUE",TODAY()-E221,"")</f>
        <v/>
      </c>
    </row>
    <row r="222">
      <c r="A222" s="4" t="n"/>
      <c r="B222" s="4" t="n"/>
      <c r="C222" s="19" t="n"/>
      <c r="D222" s="4" t="n"/>
      <c r="E222" s="9">
        <f>IF(OR(C222="",D222=""),"",C222+D222)</f>
        <v/>
      </c>
      <c r="F222" s="12" t="n"/>
      <c r="G222" s="19" t="n"/>
      <c r="H222">
        <f>IF(A222="","",IF(G222&lt;&gt;"","Paid",IF(TODAY()&gt;E222,"OVERDUE","Awaiting payment")))</f>
        <v/>
      </c>
      <c r="I222">
        <f>IF(H222="OVERDUE",TODAY()-E222,"")</f>
        <v/>
      </c>
    </row>
    <row r="223">
      <c r="A223" s="4" t="n"/>
      <c r="B223" s="4" t="n"/>
      <c r="C223" s="19" t="n"/>
      <c r="D223" s="4" t="n"/>
      <c r="E223" s="9">
        <f>IF(OR(C223="",D223=""),"",C223+D223)</f>
        <v/>
      </c>
      <c r="F223" s="12" t="n"/>
      <c r="G223" s="19" t="n"/>
      <c r="H223">
        <f>IF(A223="","",IF(G223&lt;&gt;"","Paid",IF(TODAY()&gt;E223,"OVERDUE","Awaiting payment")))</f>
        <v/>
      </c>
      <c r="I223">
        <f>IF(H223="OVERDUE",TODAY()-E223,"")</f>
        <v/>
      </c>
    </row>
    <row r="224">
      <c r="A224" s="4" t="n"/>
      <c r="B224" s="4" t="n"/>
      <c r="C224" s="19" t="n"/>
      <c r="D224" s="4" t="n"/>
      <c r="E224" s="9">
        <f>IF(OR(C224="",D224=""),"",C224+D224)</f>
        <v/>
      </c>
      <c r="F224" s="12" t="n"/>
      <c r="G224" s="19" t="n"/>
      <c r="H224">
        <f>IF(A224="","",IF(G224&lt;&gt;"","Paid",IF(TODAY()&gt;E224,"OVERDUE","Awaiting payment")))</f>
        <v/>
      </c>
      <c r="I224">
        <f>IF(H224="OVERDUE",TODAY()-E224,"")</f>
        <v/>
      </c>
    </row>
    <row r="225">
      <c r="A225" s="4" t="n"/>
      <c r="B225" s="4" t="n"/>
      <c r="C225" s="19" t="n"/>
      <c r="D225" s="4" t="n"/>
      <c r="E225" s="9">
        <f>IF(OR(C225="",D225=""),"",C225+D225)</f>
        <v/>
      </c>
      <c r="F225" s="12" t="n"/>
      <c r="G225" s="19" t="n"/>
      <c r="H225">
        <f>IF(A225="","",IF(G225&lt;&gt;"","Paid",IF(TODAY()&gt;E225,"OVERDUE","Awaiting payment")))</f>
        <v/>
      </c>
      <c r="I225">
        <f>IF(H225="OVERDUE",TODAY()-E225,"")</f>
        <v/>
      </c>
    </row>
    <row r="226">
      <c r="A226" s="4" t="n"/>
      <c r="B226" s="4" t="n"/>
      <c r="C226" s="19" t="n"/>
      <c r="D226" s="4" t="n"/>
      <c r="E226" s="9">
        <f>IF(OR(C226="",D226=""),"",C226+D226)</f>
        <v/>
      </c>
      <c r="F226" s="12" t="n"/>
      <c r="G226" s="19" t="n"/>
      <c r="H226">
        <f>IF(A226="","",IF(G226&lt;&gt;"","Paid",IF(TODAY()&gt;E226,"OVERDUE","Awaiting payment")))</f>
        <v/>
      </c>
      <c r="I226">
        <f>IF(H226="OVERDUE",TODAY()-E226,"")</f>
        <v/>
      </c>
    </row>
    <row r="227">
      <c r="A227" s="4" t="n"/>
      <c r="B227" s="4" t="n"/>
      <c r="C227" s="19" t="n"/>
      <c r="D227" s="4" t="n"/>
      <c r="E227" s="9">
        <f>IF(OR(C227="",D227=""),"",C227+D227)</f>
        <v/>
      </c>
      <c r="F227" s="12" t="n"/>
      <c r="G227" s="19" t="n"/>
      <c r="H227">
        <f>IF(A227="","",IF(G227&lt;&gt;"","Paid",IF(TODAY()&gt;E227,"OVERDUE","Awaiting payment")))</f>
        <v/>
      </c>
      <c r="I227">
        <f>IF(H227="OVERDUE",TODAY()-E227,"")</f>
        <v/>
      </c>
    </row>
    <row r="228">
      <c r="A228" s="4" t="n"/>
      <c r="B228" s="4" t="n"/>
      <c r="C228" s="19" t="n"/>
      <c r="D228" s="4" t="n"/>
      <c r="E228" s="9">
        <f>IF(OR(C228="",D228=""),"",C228+D228)</f>
        <v/>
      </c>
      <c r="F228" s="12" t="n"/>
      <c r="G228" s="19" t="n"/>
      <c r="H228">
        <f>IF(A228="","",IF(G228&lt;&gt;"","Paid",IF(TODAY()&gt;E228,"OVERDUE","Awaiting payment")))</f>
        <v/>
      </c>
      <c r="I228">
        <f>IF(H228="OVERDUE",TODAY()-E228,"")</f>
        <v/>
      </c>
    </row>
    <row r="229">
      <c r="A229" s="4" t="n"/>
      <c r="B229" s="4" t="n"/>
      <c r="C229" s="19" t="n"/>
      <c r="D229" s="4" t="n"/>
      <c r="E229" s="9">
        <f>IF(OR(C229="",D229=""),"",C229+D229)</f>
        <v/>
      </c>
      <c r="F229" s="12" t="n"/>
      <c r="G229" s="19" t="n"/>
      <c r="H229">
        <f>IF(A229="","",IF(G229&lt;&gt;"","Paid",IF(TODAY()&gt;E229,"OVERDUE","Awaiting payment")))</f>
        <v/>
      </c>
      <c r="I229">
        <f>IF(H229="OVERDUE",TODAY()-E229,"")</f>
        <v/>
      </c>
    </row>
    <row r="230">
      <c r="A230" s="4" t="n"/>
      <c r="B230" s="4" t="n"/>
      <c r="C230" s="19" t="n"/>
      <c r="D230" s="4" t="n"/>
      <c r="E230" s="9">
        <f>IF(OR(C230="",D230=""),"",C230+D230)</f>
        <v/>
      </c>
      <c r="F230" s="12" t="n"/>
      <c r="G230" s="19" t="n"/>
      <c r="H230">
        <f>IF(A230="","",IF(G230&lt;&gt;"","Paid",IF(TODAY()&gt;E230,"OVERDUE","Awaiting payment")))</f>
        <v/>
      </c>
      <c r="I230">
        <f>IF(H230="OVERDUE",TODAY()-E230,"")</f>
        <v/>
      </c>
    </row>
    <row r="231">
      <c r="A231" s="4" t="n"/>
      <c r="B231" s="4" t="n"/>
      <c r="C231" s="19" t="n"/>
      <c r="D231" s="4" t="n"/>
      <c r="E231" s="9">
        <f>IF(OR(C231="",D231=""),"",C231+D231)</f>
        <v/>
      </c>
      <c r="F231" s="12" t="n"/>
      <c r="G231" s="19" t="n"/>
      <c r="H231">
        <f>IF(A231="","",IF(G231&lt;&gt;"","Paid",IF(TODAY()&gt;E231,"OVERDUE","Awaiting payment")))</f>
        <v/>
      </c>
      <c r="I231">
        <f>IF(H231="OVERDUE",TODAY()-E231,"")</f>
        <v/>
      </c>
    </row>
    <row r="232">
      <c r="A232" s="4" t="n"/>
      <c r="B232" s="4" t="n"/>
      <c r="C232" s="19" t="n"/>
      <c r="D232" s="4" t="n"/>
      <c r="E232" s="9">
        <f>IF(OR(C232="",D232=""),"",C232+D232)</f>
        <v/>
      </c>
      <c r="F232" s="12" t="n"/>
      <c r="G232" s="19" t="n"/>
      <c r="H232">
        <f>IF(A232="","",IF(G232&lt;&gt;"","Paid",IF(TODAY()&gt;E232,"OVERDUE","Awaiting payment")))</f>
        <v/>
      </c>
      <c r="I232">
        <f>IF(H232="OVERDUE",TODAY()-E232,"")</f>
        <v/>
      </c>
    </row>
    <row r="233">
      <c r="A233" s="4" t="n"/>
      <c r="B233" s="4" t="n"/>
      <c r="C233" s="19" t="n"/>
      <c r="D233" s="4" t="n"/>
      <c r="E233" s="9">
        <f>IF(OR(C233="",D233=""),"",C233+D233)</f>
        <v/>
      </c>
      <c r="F233" s="12" t="n"/>
      <c r="G233" s="19" t="n"/>
      <c r="H233">
        <f>IF(A233="","",IF(G233&lt;&gt;"","Paid",IF(TODAY()&gt;E233,"OVERDUE","Awaiting payment")))</f>
        <v/>
      </c>
      <c r="I233">
        <f>IF(H233="OVERDUE",TODAY()-E233,"")</f>
        <v/>
      </c>
    </row>
    <row r="234">
      <c r="A234" s="4" t="n"/>
      <c r="B234" s="4" t="n"/>
      <c r="C234" s="19" t="n"/>
      <c r="D234" s="4" t="n"/>
      <c r="E234" s="9">
        <f>IF(OR(C234="",D234=""),"",C234+D234)</f>
        <v/>
      </c>
      <c r="F234" s="12" t="n"/>
      <c r="G234" s="19" t="n"/>
      <c r="H234">
        <f>IF(A234="","",IF(G234&lt;&gt;"","Paid",IF(TODAY()&gt;E234,"OVERDUE","Awaiting payment")))</f>
        <v/>
      </c>
      <c r="I234">
        <f>IF(H234="OVERDUE",TODAY()-E234,"")</f>
        <v/>
      </c>
    </row>
    <row r="235">
      <c r="A235" s="4" t="n"/>
      <c r="B235" s="4" t="n"/>
      <c r="C235" s="19" t="n"/>
      <c r="D235" s="4" t="n"/>
      <c r="E235" s="9">
        <f>IF(OR(C235="",D235=""),"",C235+D235)</f>
        <v/>
      </c>
      <c r="F235" s="12" t="n"/>
      <c r="G235" s="19" t="n"/>
      <c r="H235">
        <f>IF(A235="","",IF(G235&lt;&gt;"","Paid",IF(TODAY()&gt;E235,"OVERDUE","Awaiting payment")))</f>
        <v/>
      </c>
      <c r="I235">
        <f>IF(H235="OVERDUE",TODAY()-E235,"")</f>
        <v/>
      </c>
    </row>
    <row r="236">
      <c r="A236" s="4" t="n"/>
      <c r="B236" s="4" t="n"/>
      <c r="C236" s="19" t="n"/>
      <c r="D236" s="4" t="n"/>
      <c r="E236" s="9">
        <f>IF(OR(C236="",D236=""),"",C236+D236)</f>
        <v/>
      </c>
      <c r="F236" s="12" t="n"/>
      <c r="G236" s="19" t="n"/>
      <c r="H236">
        <f>IF(A236="","",IF(G236&lt;&gt;"","Paid",IF(TODAY()&gt;E236,"OVERDUE","Awaiting payment")))</f>
        <v/>
      </c>
      <c r="I236">
        <f>IF(H236="OVERDUE",TODAY()-E236,"")</f>
        <v/>
      </c>
    </row>
    <row r="237">
      <c r="A237" s="4" t="n"/>
      <c r="B237" s="4" t="n"/>
      <c r="C237" s="19" t="n"/>
      <c r="D237" s="4" t="n"/>
      <c r="E237" s="9">
        <f>IF(OR(C237="",D237=""),"",C237+D237)</f>
        <v/>
      </c>
      <c r="F237" s="12" t="n"/>
      <c r="G237" s="19" t="n"/>
      <c r="H237">
        <f>IF(A237="","",IF(G237&lt;&gt;"","Paid",IF(TODAY()&gt;E237,"OVERDUE","Awaiting payment")))</f>
        <v/>
      </c>
      <c r="I237">
        <f>IF(H237="OVERDUE",TODAY()-E237,"")</f>
        <v/>
      </c>
    </row>
    <row r="238">
      <c r="A238" s="4" t="n"/>
      <c r="B238" s="4" t="n"/>
      <c r="C238" s="19" t="n"/>
      <c r="D238" s="4" t="n"/>
      <c r="E238" s="9">
        <f>IF(OR(C238="",D238=""),"",C238+D238)</f>
        <v/>
      </c>
      <c r="F238" s="12" t="n"/>
      <c r="G238" s="19" t="n"/>
      <c r="H238">
        <f>IF(A238="","",IF(G238&lt;&gt;"","Paid",IF(TODAY()&gt;E238,"OVERDUE","Awaiting payment")))</f>
        <v/>
      </c>
      <c r="I238">
        <f>IF(H238="OVERDUE",TODAY()-E238,"")</f>
        <v/>
      </c>
    </row>
    <row r="239">
      <c r="A239" s="4" t="n"/>
      <c r="B239" s="4" t="n"/>
      <c r="C239" s="19" t="n"/>
      <c r="D239" s="4" t="n"/>
      <c r="E239" s="9">
        <f>IF(OR(C239="",D239=""),"",C239+D239)</f>
        <v/>
      </c>
      <c r="F239" s="12" t="n"/>
      <c r="G239" s="19" t="n"/>
      <c r="H239">
        <f>IF(A239="","",IF(G239&lt;&gt;"","Paid",IF(TODAY()&gt;E239,"OVERDUE","Awaiting payment")))</f>
        <v/>
      </c>
      <c r="I239">
        <f>IF(H239="OVERDUE",TODAY()-E239,"")</f>
        <v/>
      </c>
    </row>
    <row r="240">
      <c r="A240" s="4" t="n"/>
      <c r="B240" s="4" t="n"/>
      <c r="C240" s="19" t="n"/>
      <c r="D240" s="4" t="n"/>
      <c r="E240" s="9">
        <f>IF(OR(C240="",D240=""),"",C240+D240)</f>
        <v/>
      </c>
      <c r="F240" s="12" t="n"/>
      <c r="G240" s="19" t="n"/>
      <c r="H240">
        <f>IF(A240="","",IF(G240&lt;&gt;"","Paid",IF(TODAY()&gt;E240,"OVERDUE","Awaiting payment")))</f>
        <v/>
      </c>
      <c r="I240">
        <f>IF(H240="OVERDUE",TODAY()-E240,"")</f>
        <v/>
      </c>
    </row>
    <row r="241">
      <c r="A241" s="4" t="n"/>
      <c r="B241" s="4" t="n"/>
      <c r="C241" s="19" t="n"/>
      <c r="D241" s="4" t="n"/>
      <c r="E241" s="9">
        <f>IF(OR(C241="",D241=""),"",C241+D241)</f>
        <v/>
      </c>
      <c r="F241" s="12" t="n"/>
      <c r="G241" s="19" t="n"/>
      <c r="H241">
        <f>IF(A241="","",IF(G241&lt;&gt;"","Paid",IF(TODAY()&gt;E241,"OVERDUE","Awaiting payment")))</f>
        <v/>
      </c>
      <c r="I241">
        <f>IF(H241="OVERDUE",TODAY()-E241,"")</f>
        <v/>
      </c>
    </row>
    <row r="242">
      <c r="A242" s="4" t="n"/>
      <c r="B242" s="4" t="n"/>
      <c r="C242" s="19" t="n"/>
      <c r="D242" s="4" t="n"/>
      <c r="E242" s="9">
        <f>IF(OR(C242="",D242=""),"",C242+D242)</f>
        <v/>
      </c>
      <c r="F242" s="12" t="n"/>
      <c r="G242" s="19" t="n"/>
      <c r="H242">
        <f>IF(A242="","",IF(G242&lt;&gt;"","Paid",IF(TODAY()&gt;E242,"OVERDUE","Awaiting payment")))</f>
        <v/>
      </c>
      <c r="I242">
        <f>IF(H242="OVERDUE",TODAY()-E242,"")</f>
        <v/>
      </c>
    </row>
    <row r="243">
      <c r="A243" s="4" t="n"/>
      <c r="B243" s="4" t="n"/>
      <c r="C243" s="19" t="n"/>
      <c r="D243" s="4" t="n"/>
      <c r="E243" s="9">
        <f>IF(OR(C243="",D243=""),"",C243+D243)</f>
        <v/>
      </c>
      <c r="F243" s="12" t="n"/>
      <c r="G243" s="19" t="n"/>
      <c r="H243">
        <f>IF(A243="","",IF(G243&lt;&gt;"","Paid",IF(TODAY()&gt;E243,"OVERDUE","Awaiting payment")))</f>
        <v/>
      </c>
      <c r="I243">
        <f>IF(H243="OVERDUE",TODAY()-E243,"")</f>
        <v/>
      </c>
    </row>
    <row r="244">
      <c r="A244" s="4" t="n"/>
      <c r="B244" s="4" t="n"/>
      <c r="C244" s="19" t="n"/>
      <c r="D244" s="4" t="n"/>
      <c r="E244" s="9">
        <f>IF(OR(C244="",D244=""),"",C244+D244)</f>
        <v/>
      </c>
      <c r="F244" s="12" t="n"/>
      <c r="G244" s="19" t="n"/>
      <c r="H244">
        <f>IF(A244="","",IF(G244&lt;&gt;"","Paid",IF(TODAY()&gt;E244,"OVERDUE","Awaiting payment")))</f>
        <v/>
      </c>
      <c r="I244">
        <f>IF(H244="OVERDUE",TODAY()-E244,"")</f>
        <v/>
      </c>
    </row>
    <row r="245">
      <c r="A245" s="4" t="n"/>
      <c r="B245" s="4" t="n"/>
      <c r="C245" s="19" t="n"/>
      <c r="D245" s="4" t="n"/>
      <c r="E245" s="9">
        <f>IF(OR(C245="",D245=""),"",C245+D245)</f>
        <v/>
      </c>
      <c r="F245" s="12" t="n"/>
      <c r="G245" s="19" t="n"/>
      <c r="H245">
        <f>IF(A245="","",IF(G245&lt;&gt;"","Paid",IF(TODAY()&gt;E245,"OVERDUE","Awaiting payment")))</f>
        <v/>
      </c>
      <c r="I245">
        <f>IF(H245="OVERDUE",TODAY()-E245,"")</f>
        <v/>
      </c>
    </row>
    <row r="246">
      <c r="A246" s="4" t="n"/>
      <c r="B246" s="4" t="n"/>
      <c r="C246" s="19" t="n"/>
      <c r="D246" s="4" t="n"/>
      <c r="E246" s="9">
        <f>IF(OR(C246="",D246=""),"",C246+D246)</f>
        <v/>
      </c>
      <c r="F246" s="12" t="n"/>
      <c r="G246" s="19" t="n"/>
      <c r="H246">
        <f>IF(A246="","",IF(G246&lt;&gt;"","Paid",IF(TODAY()&gt;E246,"OVERDUE","Awaiting payment")))</f>
        <v/>
      </c>
      <c r="I246">
        <f>IF(H246="OVERDUE",TODAY()-E246,"")</f>
        <v/>
      </c>
    </row>
    <row r="247">
      <c r="A247" s="4" t="n"/>
      <c r="B247" s="4" t="n"/>
      <c r="C247" s="19" t="n"/>
      <c r="D247" s="4" t="n"/>
      <c r="E247" s="9">
        <f>IF(OR(C247="",D247=""),"",C247+D247)</f>
        <v/>
      </c>
      <c r="F247" s="12" t="n"/>
      <c r="G247" s="19" t="n"/>
      <c r="H247">
        <f>IF(A247="","",IF(G247&lt;&gt;"","Paid",IF(TODAY()&gt;E247,"OVERDUE","Awaiting payment")))</f>
        <v/>
      </c>
      <c r="I247">
        <f>IF(H247="OVERDUE",TODAY()-E247,"")</f>
        <v/>
      </c>
    </row>
    <row r="248">
      <c r="A248" s="4" t="n"/>
      <c r="B248" s="4" t="n"/>
      <c r="C248" s="19" t="n"/>
      <c r="D248" s="4" t="n"/>
      <c r="E248" s="9">
        <f>IF(OR(C248="",D248=""),"",C248+D248)</f>
        <v/>
      </c>
      <c r="F248" s="12" t="n"/>
      <c r="G248" s="19" t="n"/>
      <c r="H248">
        <f>IF(A248="","",IF(G248&lt;&gt;"","Paid",IF(TODAY()&gt;E248,"OVERDUE","Awaiting payment")))</f>
        <v/>
      </c>
      <c r="I248">
        <f>IF(H248="OVERDUE",TODAY()-E248,"")</f>
        <v/>
      </c>
    </row>
    <row r="249">
      <c r="A249" s="4" t="n"/>
      <c r="B249" s="4" t="n"/>
      <c r="C249" s="19" t="n"/>
      <c r="D249" s="4" t="n"/>
      <c r="E249" s="9">
        <f>IF(OR(C249="",D249=""),"",C249+D249)</f>
        <v/>
      </c>
      <c r="F249" s="12" t="n"/>
      <c r="G249" s="19" t="n"/>
      <c r="H249">
        <f>IF(A249="","",IF(G249&lt;&gt;"","Paid",IF(TODAY()&gt;E249,"OVERDUE","Awaiting payment")))</f>
        <v/>
      </c>
      <c r="I249">
        <f>IF(H249="OVERDUE",TODAY()-E249,"")</f>
        <v/>
      </c>
    </row>
    <row r="250">
      <c r="A250" s="4" t="n"/>
      <c r="B250" s="4" t="n"/>
      <c r="C250" s="19" t="n"/>
      <c r="D250" s="4" t="n"/>
      <c r="E250" s="9">
        <f>IF(OR(C250="",D250=""),"",C250+D250)</f>
        <v/>
      </c>
      <c r="F250" s="12" t="n"/>
      <c r="G250" s="19" t="n"/>
      <c r="H250">
        <f>IF(A250="","",IF(G250&lt;&gt;"","Paid",IF(TODAY()&gt;E250,"OVERDUE","Awaiting payment")))</f>
        <v/>
      </c>
      <c r="I250">
        <f>IF(H250="OVERDUE",TODAY()-E250,"")</f>
        <v/>
      </c>
    </row>
    <row r="251">
      <c r="A251" s="4" t="n"/>
      <c r="B251" s="4" t="n"/>
      <c r="C251" s="19" t="n"/>
      <c r="D251" s="4" t="n"/>
      <c r="E251" s="9">
        <f>IF(OR(C251="",D251=""),"",C251+D251)</f>
        <v/>
      </c>
      <c r="F251" s="12" t="n"/>
      <c r="G251" s="19" t="n"/>
      <c r="H251">
        <f>IF(A251="","",IF(G251&lt;&gt;"","Paid",IF(TODAY()&gt;E251,"OVERDUE","Awaiting payment")))</f>
        <v/>
      </c>
      <c r="I251">
        <f>IF(H251="OVERDUE",TODAY()-E251,"")</f>
        <v/>
      </c>
    </row>
    <row r="252">
      <c r="A252" s="4" t="n"/>
      <c r="B252" s="4" t="n"/>
      <c r="C252" s="19" t="n"/>
      <c r="D252" s="4" t="n"/>
      <c r="E252" s="9">
        <f>IF(OR(C252="",D252=""),"",C252+D252)</f>
        <v/>
      </c>
      <c r="F252" s="12" t="n"/>
      <c r="G252" s="19" t="n"/>
      <c r="H252">
        <f>IF(A252="","",IF(G252&lt;&gt;"","Paid",IF(TODAY()&gt;E252,"OVERDUE","Awaiting payment")))</f>
        <v/>
      </c>
      <c r="I252">
        <f>IF(H252="OVERDUE",TODAY()-E252,"")</f>
        <v/>
      </c>
    </row>
    <row r="253">
      <c r="A253" s="4" t="n"/>
      <c r="B253" s="4" t="n"/>
      <c r="C253" s="19" t="n"/>
      <c r="D253" s="4" t="n"/>
      <c r="E253" s="9">
        <f>IF(OR(C253="",D253=""),"",C253+D253)</f>
        <v/>
      </c>
      <c r="F253" s="12" t="n"/>
      <c r="G253" s="19" t="n"/>
      <c r="H253">
        <f>IF(A253="","",IF(G253&lt;&gt;"","Paid",IF(TODAY()&gt;E253,"OVERDUE","Awaiting payment")))</f>
        <v/>
      </c>
      <c r="I253">
        <f>IF(H253="OVERDUE",TODAY()-E253,"")</f>
        <v/>
      </c>
    </row>
    <row r="254">
      <c r="A254" s="4" t="n"/>
      <c r="B254" s="4" t="n"/>
      <c r="C254" s="19" t="n"/>
      <c r="D254" s="4" t="n"/>
      <c r="E254" s="9">
        <f>IF(OR(C254="",D254=""),"",C254+D254)</f>
        <v/>
      </c>
      <c r="F254" s="12" t="n"/>
      <c r="G254" s="19" t="n"/>
      <c r="H254">
        <f>IF(A254="","",IF(G254&lt;&gt;"","Paid",IF(TODAY()&gt;E254,"OVERDUE","Awaiting payment")))</f>
        <v/>
      </c>
      <c r="I254">
        <f>IF(H254="OVERDUE",TODAY()-E254,"")</f>
        <v/>
      </c>
    </row>
    <row r="255">
      <c r="A255" s="4" t="n"/>
      <c r="B255" s="4" t="n"/>
      <c r="C255" s="19" t="n"/>
      <c r="D255" s="4" t="n"/>
      <c r="E255" s="9">
        <f>IF(OR(C255="",D255=""),"",C255+D255)</f>
        <v/>
      </c>
      <c r="F255" s="12" t="n"/>
      <c r="G255" s="19" t="n"/>
      <c r="H255">
        <f>IF(A255="","",IF(G255&lt;&gt;"","Paid",IF(TODAY()&gt;E255,"OVERDUE","Awaiting payment")))</f>
        <v/>
      </c>
      <c r="I255">
        <f>IF(H255="OVERDUE",TODAY()-E255,"")</f>
        <v/>
      </c>
    </row>
    <row r="256">
      <c r="A256" s="4" t="n"/>
      <c r="B256" s="4" t="n"/>
      <c r="C256" s="19" t="n"/>
      <c r="D256" s="4" t="n"/>
      <c r="E256" s="9">
        <f>IF(OR(C256="",D256=""),"",C256+D256)</f>
        <v/>
      </c>
      <c r="F256" s="12" t="n"/>
      <c r="G256" s="19" t="n"/>
      <c r="H256">
        <f>IF(A256="","",IF(G256&lt;&gt;"","Paid",IF(TODAY()&gt;E256,"OVERDUE","Awaiting payment")))</f>
        <v/>
      </c>
      <c r="I256">
        <f>IF(H256="OVERDUE",TODAY()-E256,"")</f>
        <v/>
      </c>
    </row>
    <row r="257">
      <c r="A257" s="4" t="n"/>
      <c r="B257" s="4" t="n"/>
      <c r="C257" s="19" t="n"/>
      <c r="D257" s="4" t="n"/>
      <c r="E257" s="9">
        <f>IF(OR(C257="",D257=""),"",C257+D257)</f>
        <v/>
      </c>
      <c r="F257" s="12" t="n"/>
      <c r="G257" s="19" t="n"/>
      <c r="H257">
        <f>IF(A257="","",IF(G257&lt;&gt;"","Paid",IF(TODAY()&gt;E257,"OVERDUE","Awaiting payment")))</f>
        <v/>
      </c>
      <c r="I257">
        <f>IF(H257="OVERDUE",TODAY()-E257,"")</f>
        <v/>
      </c>
    </row>
    <row r="258">
      <c r="A258" s="4" t="n"/>
      <c r="B258" s="4" t="n"/>
      <c r="C258" s="19" t="n"/>
      <c r="D258" s="4" t="n"/>
      <c r="E258" s="9">
        <f>IF(OR(C258="",D258=""),"",C258+D258)</f>
        <v/>
      </c>
      <c r="F258" s="12" t="n"/>
      <c r="G258" s="19" t="n"/>
      <c r="H258">
        <f>IF(A258="","",IF(G258&lt;&gt;"","Paid",IF(TODAY()&gt;E258,"OVERDUE","Awaiting payment")))</f>
        <v/>
      </c>
      <c r="I258">
        <f>IF(H258="OVERDUE",TODAY()-E258,"")</f>
        <v/>
      </c>
    </row>
    <row r="259">
      <c r="A259" s="4" t="n"/>
      <c r="B259" s="4" t="n"/>
      <c r="C259" s="19" t="n"/>
      <c r="D259" s="4" t="n"/>
      <c r="E259" s="9">
        <f>IF(OR(C259="",D259=""),"",C259+D259)</f>
        <v/>
      </c>
      <c r="F259" s="12" t="n"/>
      <c r="G259" s="19" t="n"/>
      <c r="H259">
        <f>IF(A259="","",IF(G259&lt;&gt;"","Paid",IF(TODAY()&gt;E259,"OVERDUE","Awaiting payment")))</f>
        <v/>
      </c>
      <c r="I259">
        <f>IF(H259="OVERDUE",TODAY()-E259,"")</f>
        <v/>
      </c>
    </row>
    <row r="260">
      <c r="A260" s="4" t="n"/>
      <c r="B260" s="4" t="n"/>
      <c r="C260" s="19" t="n"/>
      <c r="D260" s="4" t="n"/>
      <c r="E260" s="9">
        <f>IF(OR(C260="",D260=""),"",C260+D260)</f>
        <v/>
      </c>
      <c r="F260" s="12" t="n"/>
      <c r="G260" s="19" t="n"/>
      <c r="H260">
        <f>IF(A260="","",IF(G260&lt;&gt;"","Paid",IF(TODAY()&gt;E260,"OVERDUE","Awaiting payment")))</f>
        <v/>
      </c>
      <c r="I260">
        <f>IF(H260="OVERDUE",TODAY()-E260,"")</f>
        <v/>
      </c>
    </row>
    <row r="261">
      <c r="A261" s="4" t="n"/>
      <c r="B261" s="4" t="n"/>
      <c r="C261" s="19" t="n"/>
      <c r="D261" s="4" t="n"/>
      <c r="E261" s="9">
        <f>IF(OR(C261="",D261=""),"",C261+D261)</f>
        <v/>
      </c>
      <c r="F261" s="12" t="n"/>
      <c r="G261" s="19" t="n"/>
      <c r="H261">
        <f>IF(A261="","",IF(G261&lt;&gt;"","Paid",IF(TODAY()&gt;E261,"OVERDUE","Awaiting payment")))</f>
        <v/>
      </c>
      <c r="I261">
        <f>IF(H261="OVERDUE",TODAY()-E261,"")</f>
        <v/>
      </c>
    </row>
    <row r="262">
      <c r="A262" s="4" t="n"/>
      <c r="B262" s="4" t="n"/>
      <c r="C262" s="19" t="n"/>
      <c r="D262" s="4" t="n"/>
      <c r="E262" s="9">
        <f>IF(OR(C262="",D262=""),"",C262+D262)</f>
        <v/>
      </c>
      <c r="F262" s="12" t="n"/>
      <c r="G262" s="19" t="n"/>
      <c r="H262">
        <f>IF(A262="","",IF(G262&lt;&gt;"","Paid",IF(TODAY()&gt;E262,"OVERDUE","Awaiting payment")))</f>
        <v/>
      </c>
      <c r="I262">
        <f>IF(H262="OVERDUE",TODAY()-E262,"")</f>
        <v/>
      </c>
    </row>
    <row r="263">
      <c r="A263" s="4" t="n"/>
      <c r="B263" s="4" t="n"/>
      <c r="C263" s="19" t="n"/>
      <c r="D263" s="4" t="n"/>
      <c r="E263" s="9">
        <f>IF(OR(C263="",D263=""),"",C263+D263)</f>
        <v/>
      </c>
      <c r="F263" s="12" t="n"/>
      <c r="G263" s="19" t="n"/>
      <c r="H263">
        <f>IF(A263="","",IF(G263&lt;&gt;"","Paid",IF(TODAY()&gt;E263,"OVERDUE","Awaiting payment")))</f>
        <v/>
      </c>
      <c r="I263">
        <f>IF(H263="OVERDUE",TODAY()-E263,"")</f>
        <v/>
      </c>
    </row>
    <row r="264">
      <c r="A264" s="4" t="n"/>
      <c r="B264" s="4" t="n"/>
      <c r="C264" s="19" t="n"/>
      <c r="D264" s="4" t="n"/>
      <c r="E264" s="9">
        <f>IF(OR(C264="",D264=""),"",C264+D264)</f>
        <v/>
      </c>
      <c r="F264" s="12" t="n"/>
      <c r="G264" s="19" t="n"/>
      <c r="H264">
        <f>IF(A264="","",IF(G264&lt;&gt;"","Paid",IF(TODAY()&gt;E264,"OVERDUE","Awaiting payment")))</f>
        <v/>
      </c>
      <c r="I264">
        <f>IF(H264="OVERDUE",TODAY()-E264,"")</f>
        <v/>
      </c>
    </row>
    <row r="265">
      <c r="A265" s="4" t="n"/>
      <c r="B265" s="4" t="n"/>
      <c r="C265" s="19" t="n"/>
      <c r="D265" s="4" t="n"/>
      <c r="E265" s="9">
        <f>IF(OR(C265="",D265=""),"",C265+D265)</f>
        <v/>
      </c>
      <c r="F265" s="12" t="n"/>
      <c r="G265" s="19" t="n"/>
      <c r="H265">
        <f>IF(A265="","",IF(G265&lt;&gt;"","Paid",IF(TODAY()&gt;E265,"OVERDUE","Awaiting payment")))</f>
        <v/>
      </c>
      <c r="I265">
        <f>IF(H265="OVERDUE",TODAY()-E265,"")</f>
        <v/>
      </c>
    </row>
    <row r="266">
      <c r="A266" s="4" t="n"/>
      <c r="B266" s="4" t="n"/>
      <c r="C266" s="19" t="n"/>
      <c r="D266" s="4" t="n"/>
      <c r="E266" s="9">
        <f>IF(OR(C266="",D266=""),"",C266+D266)</f>
        <v/>
      </c>
      <c r="F266" s="12" t="n"/>
      <c r="G266" s="19" t="n"/>
      <c r="H266">
        <f>IF(A266="","",IF(G266&lt;&gt;"","Paid",IF(TODAY()&gt;E266,"OVERDUE","Awaiting payment")))</f>
        <v/>
      </c>
      <c r="I266">
        <f>IF(H266="OVERDUE",TODAY()-E266,"")</f>
        <v/>
      </c>
    </row>
    <row r="267">
      <c r="A267" s="4" t="n"/>
      <c r="B267" s="4" t="n"/>
      <c r="C267" s="19" t="n"/>
      <c r="D267" s="4" t="n"/>
      <c r="E267" s="9">
        <f>IF(OR(C267="",D267=""),"",C267+D267)</f>
        <v/>
      </c>
      <c r="F267" s="12" t="n"/>
      <c r="G267" s="19" t="n"/>
      <c r="H267">
        <f>IF(A267="","",IF(G267&lt;&gt;"","Paid",IF(TODAY()&gt;E267,"OVERDUE","Awaiting payment")))</f>
        <v/>
      </c>
      <c r="I267">
        <f>IF(H267="OVERDUE",TODAY()-E267,"")</f>
        <v/>
      </c>
    </row>
    <row r="268">
      <c r="A268" s="4" t="n"/>
      <c r="B268" s="4" t="n"/>
      <c r="C268" s="19" t="n"/>
      <c r="D268" s="4" t="n"/>
      <c r="E268" s="9">
        <f>IF(OR(C268="",D268=""),"",C268+D268)</f>
        <v/>
      </c>
      <c r="F268" s="12" t="n"/>
      <c r="G268" s="19" t="n"/>
      <c r="H268">
        <f>IF(A268="","",IF(G268&lt;&gt;"","Paid",IF(TODAY()&gt;E268,"OVERDUE","Awaiting payment")))</f>
        <v/>
      </c>
      <c r="I268">
        <f>IF(H268="OVERDUE",TODAY()-E268,"")</f>
        <v/>
      </c>
    </row>
    <row r="269">
      <c r="A269" s="4" t="n"/>
      <c r="B269" s="4" t="n"/>
      <c r="C269" s="19" t="n"/>
      <c r="D269" s="4" t="n"/>
      <c r="E269" s="9">
        <f>IF(OR(C269="",D269=""),"",C269+D269)</f>
        <v/>
      </c>
      <c r="F269" s="12" t="n"/>
      <c r="G269" s="19" t="n"/>
      <c r="H269">
        <f>IF(A269="","",IF(G269&lt;&gt;"","Paid",IF(TODAY()&gt;E269,"OVERDUE","Awaiting payment")))</f>
        <v/>
      </c>
      <c r="I269">
        <f>IF(H269="OVERDUE",TODAY()-E269,"")</f>
        <v/>
      </c>
    </row>
    <row r="270">
      <c r="A270" s="4" t="n"/>
      <c r="B270" s="4" t="n"/>
      <c r="C270" s="19" t="n"/>
      <c r="D270" s="4" t="n"/>
      <c r="E270" s="9">
        <f>IF(OR(C270="",D270=""),"",C270+D270)</f>
        <v/>
      </c>
      <c r="F270" s="12" t="n"/>
      <c r="G270" s="19" t="n"/>
      <c r="H270">
        <f>IF(A270="","",IF(G270&lt;&gt;"","Paid",IF(TODAY()&gt;E270,"OVERDUE","Awaiting payment")))</f>
        <v/>
      </c>
      <c r="I270">
        <f>IF(H270="OVERDUE",TODAY()-E270,"")</f>
        <v/>
      </c>
    </row>
    <row r="271">
      <c r="A271" s="4" t="n"/>
      <c r="B271" s="4" t="n"/>
      <c r="C271" s="19" t="n"/>
      <c r="D271" s="4" t="n"/>
      <c r="E271" s="9">
        <f>IF(OR(C271="",D271=""),"",C271+D271)</f>
        <v/>
      </c>
      <c r="F271" s="12" t="n"/>
      <c r="G271" s="19" t="n"/>
      <c r="H271">
        <f>IF(A271="","",IF(G271&lt;&gt;"","Paid",IF(TODAY()&gt;E271,"OVERDUE","Awaiting payment")))</f>
        <v/>
      </c>
      <c r="I271">
        <f>IF(H271="OVERDUE",TODAY()-E271,"")</f>
        <v/>
      </c>
    </row>
    <row r="272">
      <c r="A272" s="4" t="n"/>
      <c r="B272" s="4" t="n"/>
      <c r="C272" s="19" t="n"/>
      <c r="D272" s="4" t="n"/>
      <c r="E272" s="9">
        <f>IF(OR(C272="",D272=""),"",C272+D272)</f>
        <v/>
      </c>
      <c r="F272" s="12" t="n"/>
      <c r="G272" s="19" t="n"/>
      <c r="H272">
        <f>IF(A272="","",IF(G272&lt;&gt;"","Paid",IF(TODAY()&gt;E272,"OVERDUE","Awaiting payment")))</f>
        <v/>
      </c>
      <c r="I272">
        <f>IF(H272="OVERDUE",TODAY()-E272,"")</f>
        <v/>
      </c>
    </row>
    <row r="273">
      <c r="A273" s="4" t="n"/>
      <c r="B273" s="4" t="n"/>
      <c r="C273" s="19" t="n"/>
      <c r="D273" s="4" t="n"/>
      <c r="E273" s="9">
        <f>IF(OR(C273="",D273=""),"",C273+D273)</f>
        <v/>
      </c>
      <c r="F273" s="12" t="n"/>
      <c r="G273" s="19" t="n"/>
      <c r="H273">
        <f>IF(A273="","",IF(G273&lt;&gt;"","Paid",IF(TODAY()&gt;E273,"OVERDUE","Awaiting payment")))</f>
        <v/>
      </c>
      <c r="I273">
        <f>IF(H273="OVERDUE",TODAY()-E273,"")</f>
        <v/>
      </c>
    </row>
    <row r="274">
      <c r="A274" s="4" t="n"/>
      <c r="B274" s="4" t="n"/>
      <c r="C274" s="19" t="n"/>
      <c r="D274" s="4" t="n"/>
      <c r="E274" s="9">
        <f>IF(OR(C274="",D274=""),"",C274+D274)</f>
        <v/>
      </c>
      <c r="F274" s="12" t="n"/>
      <c r="G274" s="19" t="n"/>
      <c r="H274">
        <f>IF(A274="","",IF(G274&lt;&gt;"","Paid",IF(TODAY()&gt;E274,"OVERDUE","Awaiting payment")))</f>
        <v/>
      </c>
      <c r="I274">
        <f>IF(H274="OVERDUE",TODAY()-E274,"")</f>
        <v/>
      </c>
    </row>
    <row r="275">
      <c r="A275" s="4" t="n"/>
      <c r="B275" s="4" t="n"/>
      <c r="C275" s="19" t="n"/>
      <c r="D275" s="4" t="n"/>
      <c r="E275" s="9">
        <f>IF(OR(C275="",D275=""),"",C275+D275)</f>
        <v/>
      </c>
      <c r="F275" s="12" t="n"/>
      <c r="G275" s="19" t="n"/>
      <c r="H275">
        <f>IF(A275="","",IF(G275&lt;&gt;"","Paid",IF(TODAY()&gt;E275,"OVERDUE","Awaiting payment")))</f>
        <v/>
      </c>
      <c r="I275">
        <f>IF(H275="OVERDUE",TODAY()-E275,"")</f>
        <v/>
      </c>
    </row>
    <row r="276">
      <c r="A276" s="4" t="n"/>
      <c r="B276" s="4" t="n"/>
      <c r="C276" s="19" t="n"/>
      <c r="D276" s="4" t="n"/>
      <c r="E276" s="9">
        <f>IF(OR(C276="",D276=""),"",C276+D276)</f>
        <v/>
      </c>
      <c r="F276" s="12" t="n"/>
      <c r="G276" s="19" t="n"/>
      <c r="H276">
        <f>IF(A276="","",IF(G276&lt;&gt;"","Paid",IF(TODAY()&gt;E276,"OVERDUE","Awaiting payment")))</f>
        <v/>
      </c>
      <c r="I276">
        <f>IF(H276="OVERDUE",TODAY()-E276,"")</f>
        <v/>
      </c>
    </row>
    <row r="277">
      <c r="A277" s="4" t="n"/>
      <c r="B277" s="4" t="n"/>
      <c r="C277" s="19" t="n"/>
      <c r="D277" s="4" t="n"/>
      <c r="E277" s="9">
        <f>IF(OR(C277="",D277=""),"",C277+D277)</f>
        <v/>
      </c>
      <c r="F277" s="12" t="n"/>
      <c r="G277" s="19" t="n"/>
      <c r="H277">
        <f>IF(A277="","",IF(G277&lt;&gt;"","Paid",IF(TODAY()&gt;E277,"OVERDUE","Awaiting payment")))</f>
        <v/>
      </c>
      <c r="I277">
        <f>IF(H277="OVERDUE",TODAY()-E277,"")</f>
        <v/>
      </c>
    </row>
    <row r="278">
      <c r="A278" s="4" t="n"/>
      <c r="B278" s="4" t="n"/>
      <c r="C278" s="19" t="n"/>
      <c r="D278" s="4" t="n"/>
      <c r="E278" s="9">
        <f>IF(OR(C278="",D278=""),"",C278+D278)</f>
        <v/>
      </c>
      <c r="F278" s="12" t="n"/>
      <c r="G278" s="19" t="n"/>
      <c r="H278">
        <f>IF(A278="","",IF(G278&lt;&gt;"","Paid",IF(TODAY()&gt;E278,"OVERDUE","Awaiting payment")))</f>
        <v/>
      </c>
      <c r="I278">
        <f>IF(H278="OVERDUE",TODAY()-E278,"")</f>
        <v/>
      </c>
    </row>
    <row r="279">
      <c r="A279" s="4" t="n"/>
      <c r="B279" s="4" t="n"/>
      <c r="C279" s="19" t="n"/>
      <c r="D279" s="4" t="n"/>
      <c r="E279" s="9">
        <f>IF(OR(C279="",D279=""),"",C279+D279)</f>
        <v/>
      </c>
      <c r="F279" s="12" t="n"/>
      <c r="G279" s="19" t="n"/>
      <c r="H279">
        <f>IF(A279="","",IF(G279&lt;&gt;"","Paid",IF(TODAY()&gt;E279,"OVERDUE","Awaiting payment")))</f>
        <v/>
      </c>
      <c r="I279">
        <f>IF(H279="OVERDUE",TODAY()-E279,"")</f>
        <v/>
      </c>
    </row>
    <row r="280">
      <c r="A280" s="4" t="n"/>
      <c r="B280" s="4" t="n"/>
      <c r="C280" s="19" t="n"/>
      <c r="D280" s="4" t="n"/>
      <c r="E280" s="9">
        <f>IF(OR(C280="",D280=""),"",C280+D280)</f>
        <v/>
      </c>
      <c r="F280" s="12" t="n"/>
      <c r="G280" s="19" t="n"/>
      <c r="H280">
        <f>IF(A280="","",IF(G280&lt;&gt;"","Paid",IF(TODAY()&gt;E280,"OVERDUE","Awaiting payment")))</f>
        <v/>
      </c>
      <c r="I280">
        <f>IF(H280="OVERDUE",TODAY()-E280,"")</f>
        <v/>
      </c>
    </row>
    <row r="281">
      <c r="A281" s="4" t="n"/>
      <c r="B281" s="4" t="n"/>
      <c r="C281" s="19" t="n"/>
      <c r="D281" s="4" t="n"/>
      <c r="E281" s="9">
        <f>IF(OR(C281="",D281=""),"",C281+D281)</f>
        <v/>
      </c>
      <c r="F281" s="12" t="n"/>
      <c r="G281" s="19" t="n"/>
      <c r="H281">
        <f>IF(A281="","",IF(G281&lt;&gt;"","Paid",IF(TODAY()&gt;E281,"OVERDUE","Awaiting payment")))</f>
        <v/>
      </c>
      <c r="I281">
        <f>IF(H281="OVERDUE",TODAY()-E281,"")</f>
        <v/>
      </c>
    </row>
    <row r="282">
      <c r="A282" s="4" t="n"/>
      <c r="B282" s="4" t="n"/>
      <c r="C282" s="19" t="n"/>
      <c r="D282" s="4" t="n"/>
      <c r="E282" s="9">
        <f>IF(OR(C282="",D282=""),"",C282+D282)</f>
        <v/>
      </c>
      <c r="F282" s="12" t="n"/>
      <c r="G282" s="19" t="n"/>
      <c r="H282">
        <f>IF(A282="","",IF(G282&lt;&gt;"","Paid",IF(TODAY()&gt;E282,"OVERDUE","Awaiting payment")))</f>
        <v/>
      </c>
      <c r="I282">
        <f>IF(H282="OVERDUE",TODAY()-E282,"")</f>
        <v/>
      </c>
    </row>
    <row r="283">
      <c r="A283" s="4" t="n"/>
      <c r="B283" s="4" t="n"/>
      <c r="C283" s="19" t="n"/>
      <c r="D283" s="4" t="n"/>
      <c r="E283" s="9">
        <f>IF(OR(C283="",D283=""),"",C283+D283)</f>
        <v/>
      </c>
      <c r="F283" s="12" t="n"/>
      <c r="G283" s="19" t="n"/>
      <c r="H283">
        <f>IF(A283="","",IF(G283&lt;&gt;"","Paid",IF(TODAY()&gt;E283,"OVERDUE","Awaiting payment")))</f>
        <v/>
      </c>
      <c r="I283">
        <f>IF(H283="OVERDUE",TODAY()-E283,"")</f>
        <v/>
      </c>
    </row>
    <row r="284">
      <c r="A284" s="4" t="n"/>
      <c r="B284" s="4" t="n"/>
      <c r="C284" s="19" t="n"/>
      <c r="D284" s="4" t="n"/>
      <c r="E284" s="9">
        <f>IF(OR(C284="",D284=""),"",C284+D284)</f>
        <v/>
      </c>
      <c r="F284" s="12" t="n"/>
      <c r="G284" s="19" t="n"/>
      <c r="H284">
        <f>IF(A284="","",IF(G284&lt;&gt;"","Paid",IF(TODAY()&gt;E284,"OVERDUE","Awaiting payment")))</f>
        <v/>
      </c>
      <c r="I284">
        <f>IF(H284="OVERDUE",TODAY()-E284,"")</f>
        <v/>
      </c>
    </row>
    <row r="285">
      <c r="A285" s="4" t="n"/>
      <c r="B285" s="4" t="n"/>
      <c r="C285" s="19" t="n"/>
      <c r="D285" s="4" t="n"/>
      <c r="E285" s="9">
        <f>IF(OR(C285="",D285=""),"",C285+D285)</f>
        <v/>
      </c>
      <c r="F285" s="12" t="n"/>
      <c r="G285" s="19" t="n"/>
      <c r="H285">
        <f>IF(A285="","",IF(G285&lt;&gt;"","Paid",IF(TODAY()&gt;E285,"OVERDUE","Awaiting payment")))</f>
        <v/>
      </c>
      <c r="I285">
        <f>IF(H285="OVERDUE",TODAY()-E285,"")</f>
        <v/>
      </c>
    </row>
    <row r="286">
      <c r="A286" s="4" t="n"/>
      <c r="B286" s="4" t="n"/>
      <c r="C286" s="19" t="n"/>
      <c r="D286" s="4" t="n"/>
      <c r="E286" s="9">
        <f>IF(OR(C286="",D286=""),"",C286+D286)</f>
        <v/>
      </c>
      <c r="F286" s="12" t="n"/>
      <c r="G286" s="19" t="n"/>
      <c r="H286">
        <f>IF(A286="","",IF(G286&lt;&gt;"","Paid",IF(TODAY()&gt;E286,"OVERDUE","Awaiting payment")))</f>
        <v/>
      </c>
      <c r="I286">
        <f>IF(H286="OVERDUE",TODAY()-E286,"")</f>
        <v/>
      </c>
    </row>
    <row r="287">
      <c r="A287" s="4" t="n"/>
      <c r="B287" s="4" t="n"/>
      <c r="C287" s="19" t="n"/>
      <c r="D287" s="4" t="n"/>
      <c r="E287" s="9">
        <f>IF(OR(C287="",D287=""),"",C287+D287)</f>
        <v/>
      </c>
      <c r="F287" s="12" t="n"/>
      <c r="G287" s="19" t="n"/>
      <c r="H287">
        <f>IF(A287="","",IF(G287&lt;&gt;"","Paid",IF(TODAY()&gt;E287,"OVERDUE","Awaiting payment")))</f>
        <v/>
      </c>
      <c r="I287">
        <f>IF(H287="OVERDUE",TODAY()-E287,"")</f>
        <v/>
      </c>
    </row>
    <row r="288">
      <c r="A288" s="4" t="n"/>
      <c r="B288" s="4" t="n"/>
      <c r="C288" s="19" t="n"/>
      <c r="D288" s="4" t="n"/>
      <c r="E288" s="9">
        <f>IF(OR(C288="",D288=""),"",C288+D288)</f>
        <v/>
      </c>
      <c r="F288" s="12" t="n"/>
      <c r="G288" s="19" t="n"/>
      <c r="H288">
        <f>IF(A288="","",IF(G288&lt;&gt;"","Paid",IF(TODAY()&gt;E288,"OVERDUE","Awaiting payment")))</f>
        <v/>
      </c>
      <c r="I288">
        <f>IF(H288="OVERDUE",TODAY()-E288,"")</f>
        <v/>
      </c>
    </row>
    <row r="289">
      <c r="A289" s="4" t="n"/>
      <c r="B289" s="4" t="n"/>
      <c r="C289" s="19" t="n"/>
      <c r="D289" s="4" t="n"/>
      <c r="E289" s="9">
        <f>IF(OR(C289="",D289=""),"",C289+D289)</f>
        <v/>
      </c>
      <c r="F289" s="12" t="n"/>
      <c r="G289" s="19" t="n"/>
      <c r="H289">
        <f>IF(A289="","",IF(G289&lt;&gt;"","Paid",IF(TODAY()&gt;E289,"OVERDUE","Awaiting payment")))</f>
        <v/>
      </c>
      <c r="I289">
        <f>IF(H289="OVERDUE",TODAY()-E289,"")</f>
        <v/>
      </c>
    </row>
    <row r="290">
      <c r="A290" s="4" t="n"/>
      <c r="B290" s="4" t="n"/>
      <c r="C290" s="19" t="n"/>
      <c r="D290" s="4" t="n"/>
      <c r="E290" s="9">
        <f>IF(OR(C290="",D290=""),"",C290+D290)</f>
        <v/>
      </c>
      <c r="F290" s="12" t="n"/>
      <c r="G290" s="19" t="n"/>
      <c r="H290">
        <f>IF(A290="","",IF(G290&lt;&gt;"","Paid",IF(TODAY()&gt;E290,"OVERDUE","Awaiting payment")))</f>
        <v/>
      </c>
      <c r="I290">
        <f>IF(H290="OVERDUE",TODAY()-E290,"")</f>
        <v/>
      </c>
    </row>
    <row r="291">
      <c r="A291" s="4" t="n"/>
      <c r="B291" s="4" t="n"/>
      <c r="C291" s="19" t="n"/>
      <c r="D291" s="4" t="n"/>
      <c r="E291" s="9">
        <f>IF(OR(C291="",D291=""),"",C291+D291)</f>
        <v/>
      </c>
      <c r="F291" s="12" t="n"/>
      <c r="G291" s="19" t="n"/>
      <c r="H291">
        <f>IF(A291="","",IF(G291&lt;&gt;"","Paid",IF(TODAY()&gt;E291,"OVERDUE","Awaiting payment")))</f>
        <v/>
      </c>
      <c r="I291">
        <f>IF(H291="OVERDUE",TODAY()-E291,"")</f>
        <v/>
      </c>
    </row>
    <row r="292">
      <c r="A292" s="4" t="n"/>
      <c r="B292" s="4" t="n"/>
      <c r="C292" s="19" t="n"/>
      <c r="D292" s="4" t="n"/>
      <c r="E292" s="9">
        <f>IF(OR(C292="",D292=""),"",C292+D292)</f>
        <v/>
      </c>
      <c r="F292" s="12" t="n"/>
      <c r="G292" s="19" t="n"/>
      <c r="H292">
        <f>IF(A292="","",IF(G292&lt;&gt;"","Paid",IF(TODAY()&gt;E292,"OVERDUE","Awaiting payment")))</f>
        <v/>
      </c>
      <c r="I292">
        <f>IF(H292="OVERDUE",TODAY()-E292,"")</f>
        <v/>
      </c>
    </row>
    <row r="293">
      <c r="A293" s="4" t="n"/>
      <c r="B293" s="4" t="n"/>
      <c r="C293" s="19" t="n"/>
      <c r="D293" s="4" t="n"/>
      <c r="E293" s="9">
        <f>IF(OR(C293="",D293=""),"",C293+D293)</f>
        <v/>
      </c>
      <c r="F293" s="12" t="n"/>
      <c r="G293" s="19" t="n"/>
      <c r="H293">
        <f>IF(A293="","",IF(G293&lt;&gt;"","Paid",IF(TODAY()&gt;E293,"OVERDUE","Awaiting payment")))</f>
        <v/>
      </c>
      <c r="I293">
        <f>IF(H293="OVERDUE",TODAY()-E293,"")</f>
        <v/>
      </c>
    </row>
    <row r="294">
      <c r="A294" s="4" t="n"/>
      <c r="B294" s="4" t="n"/>
      <c r="C294" s="19" t="n"/>
      <c r="D294" s="4" t="n"/>
      <c r="E294" s="9">
        <f>IF(OR(C294="",D294=""),"",C294+D294)</f>
        <v/>
      </c>
      <c r="F294" s="12" t="n"/>
      <c r="G294" s="19" t="n"/>
      <c r="H294">
        <f>IF(A294="","",IF(G294&lt;&gt;"","Paid",IF(TODAY()&gt;E294,"OVERDUE","Awaiting payment")))</f>
        <v/>
      </c>
      <c r="I294">
        <f>IF(H294="OVERDUE",TODAY()-E294,"")</f>
        <v/>
      </c>
    </row>
    <row r="295">
      <c r="A295" s="4" t="n"/>
      <c r="B295" s="4" t="n"/>
      <c r="C295" s="19" t="n"/>
      <c r="D295" s="4" t="n"/>
      <c r="E295" s="9">
        <f>IF(OR(C295="",D295=""),"",C295+D295)</f>
        <v/>
      </c>
      <c r="F295" s="12" t="n"/>
      <c r="G295" s="19" t="n"/>
      <c r="H295">
        <f>IF(A295="","",IF(G295&lt;&gt;"","Paid",IF(TODAY()&gt;E295,"OVERDUE","Awaiting payment")))</f>
        <v/>
      </c>
      <c r="I295">
        <f>IF(H295="OVERDUE",TODAY()-E295,"")</f>
        <v/>
      </c>
    </row>
    <row r="296">
      <c r="A296" s="4" t="n"/>
      <c r="B296" s="4" t="n"/>
      <c r="C296" s="19" t="n"/>
      <c r="D296" s="4" t="n"/>
      <c r="E296" s="9">
        <f>IF(OR(C296="",D296=""),"",C296+D296)</f>
        <v/>
      </c>
      <c r="F296" s="12" t="n"/>
      <c r="G296" s="19" t="n"/>
      <c r="H296">
        <f>IF(A296="","",IF(G296&lt;&gt;"","Paid",IF(TODAY()&gt;E296,"OVERDUE","Awaiting payment")))</f>
        <v/>
      </c>
      <c r="I296">
        <f>IF(H296="OVERDUE",TODAY()-E296,"")</f>
        <v/>
      </c>
    </row>
    <row r="297">
      <c r="A297" s="4" t="n"/>
      <c r="B297" s="4" t="n"/>
      <c r="C297" s="19" t="n"/>
      <c r="D297" s="4" t="n"/>
      <c r="E297" s="9">
        <f>IF(OR(C297="",D297=""),"",C297+D297)</f>
        <v/>
      </c>
      <c r="F297" s="12" t="n"/>
      <c r="G297" s="19" t="n"/>
      <c r="H297">
        <f>IF(A297="","",IF(G297&lt;&gt;"","Paid",IF(TODAY()&gt;E297,"OVERDUE","Awaiting payment")))</f>
        <v/>
      </c>
      <c r="I297">
        <f>IF(H297="OVERDUE",TODAY()-E297,"")</f>
        <v/>
      </c>
    </row>
    <row r="298">
      <c r="A298" s="4" t="n"/>
      <c r="B298" s="4" t="n"/>
      <c r="C298" s="19" t="n"/>
      <c r="D298" s="4" t="n"/>
      <c r="E298" s="9">
        <f>IF(OR(C298="",D298=""),"",C298+D298)</f>
        <v/>
      </c>
      <c r="F298" s="12" t="n"/>
      <c r="G298" s="19" t="n"/>
      <c r="H298">
        <f>IF(A298="","",IF(G298&lt;&gt;"","Paid",IF(TODAY()&gt;E298,"OVERDUE","Awaiting payment")))</f>
        <v/>
      </c>
      <c r="I298">
        <f>IF(H298="OVERDUE",TODAY()-E298,"")</f>
        <v/>
      </c>
    </row>
    <row r="299">
      <c r="A299" s="4" t="n"/>
      <c r="B299" s="4" t="n"/>
      <c r="C299" s="19" t="n"/>
      <c r="D299" s="4" t="n"/>
      <c r="E299" s="9">
        <f>IF(OR(C299="",D299=""),"",C299+D299)</f>
        <v/>
      </c>
      <c r="F299" s="12" t="n"/>
      <c r="G299" s="19" t="n"/>
      <c r="H299">
        <f>IF(A299="","",IF(G299&lt;&gt;"","Paid",IF(TODAY()&gt;E299,"OVERDUE","Awaiting payment")))</f>
        <v/>
      </c>
      <c r="I299">
        <f>IF(H299="OVERDUE",TODAY()-E299,"")</f>
        <v/>
      </c>
    </row>
    <row r="300">
      <c r="A300" s="4" t="n"/>
      <c r="B300" s="4" t="n"/>
      <c r="C300" s="19" t="n"/>
      <c r="D300" s="4" t="n"/>
      <c r="E300" s="9">
        <f>IF(OR(C300="",D300=""),"",C300+D300)</f>
        <v/>
      </c>
      <c r="F300" s="12" t="n"/>
      <c r="G300" s="19" t="n"/>
      <c r="H300">
        <f>IF(A300="","",IF(G300&lt;&gt;"","Paid",IF(TODAY()&gt;E300,"OVERDUE","Awaiting payment")))</f>
        <v/>
      </c>
      <c r="I300">
        <f>IF(H300="OVERDUE",TODAY()-E300,"")</f>
        <v/>
      </c>
    </row>
    <row r="301">
      <c r="A301" s="4" t="n"/>
      <c r="B301" s="4" t="n"/>
      <c r="C301" s="19" t="n"/>
      <c r="D301" s="4" t="n"/>
      <c r="E301" s="9">
        <f>IF(OR(C301="",D301=""),"",C301+D301)</f>
        <v/>
      </c>
      <c r="F301" s="12" t="n"/>
      <c r="G301" s="19" t="n"/>
      <c r="H301">
        <f>IF(A301="","",IF(G301&lt;&gt;"","Paid",IF(TODAY()&gt;E301,"OVERDUE","Awaiting payment")))</f>
        <v/>
      </c>
      <c r="I301">
        <f>IF(H301="OVERDUE",TODAY()-E301,"")</f>
        <v/>
      </c>
    </row>
    <row r="302">
      <c r="A302" s="4" t="n"/>
      <c r="B302" s="4" t="n"/>
      <c r="C302" s="19" t="n"/>
      <c r="D302" s="4" t="n"/>
      <c r="E302" s="9">
        <f>IF(OR(C302="",D302=""),"",C302+D302)</f>
        <v/>
      </c>
      <c r="F302" s="12" t="n"/>
      <c r="G302" s="19" t="n"/>
      <c r="H302">
        <f>IF(A302="","",IF(G302&lt;&gt;"","Paid",IF(TODAY()&gt;E302,"OVERDUE","Awaiting payment")))</f>
        <v/>
      </c>
      <c r="I302">
        <f>IF(H302="OVERDUE",TODAY()-E302,"")</f>
        <v/>
      </c>
    </row>
    <row r="303">
      <c r="A303" s="4" t="n"/>
      <c r="B303" s="4" t="n"/>
      <c r="C303" s="19" t="n"/>
      <c r="D303" s="4" t="n"/>
      <c r="E303" s="9">
        <f>IF(OR(C303="",D303=""),"",C303+D303)</f>
        <v/>
      </c>
      <c r="F303" s="12" t="n"/>
      <c r="G303" s="19" t="n"/>
      <c r="H303">
        <f>IF(A303="","",IF(G303&lt;&gt;"","Paid",IF(TODAY()&gt;E303,"OVERDUE","Awaiting payment")))</f>
        <v/>
      </c>
      <c r="I303">
        <f>IF(H303="OVERDUE",TODAY()-E303,"")</f>
        <v/>
      </c>
    </row>
    <row r="304">
      <c r="A304" s="4" t="n"/>
      <c r="B304" s="4" t="n"/>
      <c r="C304" s="19" t="n"/>
      <c r="D304" s="4" t="n"/>
      <c r="E304" s="9">
        <f>IF(OR(C304="",D304=""),"",C304+D304)</f>
        <v/>
      </c>
      <c r="F304" s="12" t="n"/>
      <c r="G304" s="19" t="n"/>
      <c r="H304">
        <f>IF(A304="","",IF(G304&lt;&gt;"","Paid",IF(TODAY()&gt;E304,"OVERDUE","Awaiting payment")))</f>
        <v/>
      </c>
      <c r="I304">
        <f>IF(H304="OVERDUE",TODAY()-E304,"")</f>
        <v/>
      </c>
    </row>
    <row r="305">
      <c r="A305" s="4" t="n"/>
      <c r="B305" s="4" t="n"/>
      <c r="C305" s="19" t="n"/>
      <c r="D305" s="4" t="n"/>
      <c r="E305" s="9">
        <f>IF(OR(C305="",D305=""),"",C305+D305)</f>
        <v/>
      </c>
      <c r="F305" s="12" t="n"/>
      <c r="G305" s="19" t="n"/>
      <c r="H305">
        <f>IF(A305="","",IF(G305&lt;&gt;"","Paid",IF(TODAY()&gt;E305,"OVERDUE","Awaiting payment")))</f>
        <v/>
      </c>
      <c r="I305">
        <f>IF(H305="OVERDUE",TODAY()-E305,"")</f>
        <v/>
      </c>
    </row>
    <row r="306">
      <c r="A306" s="4" t="n"/>
      <c r="B306" s="4" t="n"/>
      <c r="C306" s="19" t="n"/>
      <c r="D306" s="4" t="n"/>
      <c r="E306" s="9">
        <f>IF(OR(C306="",D306=""),"",C306+D306)</f>
        <v/>
      </c>
      <c r="F306" s="12" t="n"/>
      <c r="G306" s="19" t="n"/>
      <c r="H306">
        <f>IF(A306="","",IF(G306&lt;&gt;"","Paid",IF(TODAY()&gt;E306,"OVERDUE","Awaiting payment")))</f>
        <v/>
      </c>
      <c r="I306">
        <f>IF(H306="OVERDUE",TODAY()-E306,"")</f>
        <v/>
      </c>
    </row>
    <row r="307">
      <c r="A307" s="4" t="n"/>
      <c r="B307" s="4" t="n"/>
      <c r="C307" s="19" t="n"/>
      <c r="D307" s="4" t="n"/>
      <c r="E307" s="9">
        <f>IF(OR(C307="",D307=""),"",C307+D307)</f>
        <v/>
      </c>
      <c r="F307" s="12" t="n"/>
      <c r="G307" s="19" t="n"/>
      <c r="H307">
        <f>IF(A307="","",IF(G307&lt;&gt;"","Paid",IF(TODAY()&gt;E307,"OVERDUE","Awaiting payment")))</f>
        <v/>
      </c>
      <c r="I307">
        <f>IF(H307="OVERDUE",TODAY()-E307,"")</f>
        <v/>
      </c>
    </row>
    <row r="308">
      <c r="A308" s="4" t="n"/>
      <c r="B308" s="4" t="n"/>
      <c r="C308" s="19" t="n"/>
      <c r="D308" s="4" t="n"/>
      <c r="E308" s="9">
        <f>IF(OR(C308="",D308=""),"",C308+D308)</f>
        <v/>
      </c>
      <c r="F308" s="12" t="n"/>
      <c r="G308" s="19" t="n"/>
      <c r="H308">
        <f>IF(A308="","",IF(G308&lt;&gt;"","Paid",IF(TODAY()&gt;E308,"OVERDUE","Awaiting payment")))</f>
        <v/>
      </c>
      <c r="I308">
        <f>IF(H308="OVERDUE",TODAY()-E308,"")</f>
        <v/>
      </c>
    </row>
    <row r="309">
      <c r="A309" s="4" t="n"/>
      <c r="B309" s="4" t="n"/>
      <c r="C309" s="19" t="n"/>
      <c r="D309" s="4" t="n"/>
      <c r="E309" s="9">
        <f>IF(OR(C309="",D309=""),"",C309+D309)</f>
        <v/>
      </c>
      <c r="F309" s="12" t="n"/>
      <c r="G309" s="19" t="n"/>
      <c r="H309">
        <f>IF(A309="","",IF(G309&lt;&gt;"","Paid",IF(TODAY()&gt;E309,"OVERDUE","Awaiting payment")))</f>
        <v/>
      </c>
      <c r="I309">
        <f>IF(H309="OVERDUE",TODAY()-E309,"")</f>
        <v/>
      </c>
    </row>
    <row r="310">
      <c r="A310" s="4" t="n"/>
      <c r="B310" s="4" t="n"/>
      <c r="C310" s="19" t="n"/>
      <c r="D310" s="4" t="n"/>
      <c r="E310" s="9">
        <f>IF(OR(C310="",D310=""),"",C310+D310)</f>
        <v/>
      </c>
      <c r="F310" s="12" t="n"/>
      <c r="G310" s="19" t="n"/>
      <c r="H310">
        <f>IF(A310="","",IF(G310&lt;&gt;"","Paid",IF(TODAY()&gt;E310,"OVERDUE","Awaiting payment")))</f>
        <v/>
      </c>
      <c r="I310">
        <f>IF(H310="OVERDUE",TODAY()-E310,"")</f>
        <v/>
      </c>
    </row>
    <row r="311">
      <c r="A311" s="4" t="n"/>
      <c r="B311" s="4" t="n"/>
      <c r="C311" s="19" t="n"/>
      <c r="D311" s="4" t="n"/>
      <c r="E311" s="9">
        <f>IF(OR(C311="",D311=""),"",C311+D311)</f>
        <v/>
      </c>
      <c r="F311" s="12" t="n"/>
      <c r="G311" s="19" t="n"/>
      <c r="H311">
        <f>IF(A311="","",IF(G311&lt;&gt;"","Paid",IF(TODAY()&gt;E311,"OVERDUE","Awaiting payment")))</f>
        <v/>
      </c>
      <c r="I311">
        <f>IF(H311="OVERDUE",TODAY()-E311,"")</f>
        <v/>
      </c>
    </row>
    <row r="312">
      <c r="A312" s="4" t="n"/>
      <c r="B312" s="4" t="n"/>
      <c r="C312" s="19" t="n"/>
      <c r="D312" s="4" t="n"/>
      <c r="E312" s="9">
        <f>IF(OR(C312="",D312=""),"",C312+D312)</f>
        <v/>
      </c>
      <c r="F312" s="12" t="n"/>
      <c r="G312" s="19" t="n"/>
      <c r="H312">
        <f>IF(A312="","",IF(G312&lt;&gt;"","Paid",IF(TODAY()&gt;E312,"OVERDUE","Awaiting payment")))</f>
        <v/>
      </c>
      <c r="I312">
        <f>IF(H312="OVERDUE",TODAY()-E312,"")</f>
        <v/>
      </c>
    </row>
    <row r="313">
      <c r="A313" s="4" t="n"/>
      <c r="B313" s="4" t="n"/>
      <c r="C313" s="19" t="n"/>
      <c r="D313" s="4" t="n"/>
      <c r="E313" s="9">
        <f>IF(OR(C313="",D313=""),"",C313+D313)</f>
        <v/>
      </c>
      <c r="F313" s="12" t="n"/>
      <c r="G313" s="19" t="n"/>
      <c r="H313">
        <f>IF(A313="","",IF(G313&lt;&gt;"","Paid",IF(TODAY()&gt;E313,"OVERDUE","Awaiting payment")))</f>
        <v/>
      </c>
      <c r="I313">
        <f>IF(H313="OVERDUE",TODAY()-E313,"")</f>
        <v/>
      </c>
    </row>
    <row r="314">
      <c r="A314" s="4" t="n"/>
      <c r="B314" s="4" t="n"/>
      <c r="C314" s="19" t="n"/>
      <c r="D314" s="4" t="n"/>
      <c r="E314" s="9">
        <f>IF(OR(C314="",D314=""),"",C314+D314)</f>
        <v/>
      </c>
      <c r="F314" s="12" t="n"/>
      <c r="G314" s="19" t="n"/>
      <c r="H314">
        <f>IF(A314="","",IF(G314&lt;&gt;"","Paid",IF(TODAY()&gt;E314,"OVERDUE","Awaiting payment")))</f>
        <v/>
      </c>
      <c r="I314">
        <f>IF(H314="OVERDUE",TODAY()-E314,"")</f>
        <v/>
      </c>
    </row>
    <row r="315">
      <c r="A315" s="4" t="n"/>
      <c r="B315" s="4" t="n"/>
      <c r="C315" s="19" t="n"/>
      <c r="D315" s="4" t="n"/>
      <c r="E315" s="9">
        <f>IF(OR(C315="",D315=""),"",C315+D315)</f>
        <v/>
      </c>
      <c r="F315" s="12" t="n"/>
      <c r="G315" s="19" t="n"/>
      <c r="H315">
        <f>IF(A315="","",IF(G315&lt;&gt;"","Paid",IF(TODAY()&gt;E315,"OVERDUE","Awaiting payment")))</f>
        <v/>
      </c>
      <c r="I315">
        <f>IF(H315="OVERDUE",TODAY()-E315,"")</f>
        <v/>
      </c>
    </row>
    <row r="316">
      <c r="A316" s="4" t="n"/>
      <c r="B316" s="4" t="n"/>
      <c r="C316" s="19" t="n"/>
      <c r="D316" s="4" t="n"/>
      <c r="E316" s="9">
        <f>IF(OR(C316="",D316=""),"",C316+D316)</f>
        <v/>
      </c>
      <c r="F316" s="12" t="n"/>
      <c r="G316" s="19" t="n"/>
      <c r="H316">
        <f>IF(A316="","",IF(G316&lt;&gt;"","Paid",IF(TODAY()&gt;E316,"OVERDUE","Awaiting payment")))</f>
        <v/>
      </c>
      <c r="I316">
        <f>IF(H316="OVERDUE",TODAY()-E316,"")</f>
        <v/>
      </c>
    </row>
    <row r="317">
      <c r="A317" s="4" t="n"/>
      <c r="B317" s="4" t="n"/>
      <c r="C317" s="19" t="n"/>
      <c r="D317" s="4" t="n"/>
      <c r="E317" s="9">
        <f>IF(OR(C317="",D317=""),"",C317+D317)</f>
        <v/>
      </c>
      <c r="F317" s="12" t="n"/>
      <c r="G317" s="19" t="n"/>
      <c r="H317">
        <f>IF(A317="","",IF(G317&lt;&gt;"","Paid",IF(TODAY()&gt;E317,"OVERDUE","Awaiting payment")))</f>
        <v/>
      </c>
      <c r="I317">
        <f>IF(H317="OVERDUE",TODAY()-E317,"")</f>
        <v/>
      </c>
    </row>
    <row r="318">
      <c r="A318" s="4" t="n"/>
      <c r="B318" s="4" t="n"/>
      <c r="C318" s="19" t="n"/>
      <c r="D318" s="4" t="n"/>
      <c r="E318" s="9">
        <f>IF(OR(C318="",D318=""),"",C318+D318)</f>
        <v/>
      </c>
      <c r="F318" s="12" t="n"/>
      <c r="G318" s="19" t="n"/>
      <c r="H318">
        <f>IF(A318="","",IF(G318&lt;&gt;"","Paid",IF(TODAY()&gt;E318,"OVERDUE","Awaiting payment")))</f>
        <v/>
      </c>
      <c r="I318">
        <f>IF(H318="OVERDUE",TODAY()-E318,"")</f>
        <v/>
      </c>
    </row>
    <row r="319">
      <c r="A319" s="4" t="n"/>
      <c r="B319" s="4" t="n"/>
      <c r="C319" s="19" t="n"/>
      <c r="D319" s="4" t="n"/>
      <c r="E319" s="9">
        <f>IF(OR(C319="",D319=""),"",C319+D319)</f>
        <v/>
      </c>
      <c r="F319" s="12" t="n"/>
      <c r="G319" s="19" t="n"/>
      <c r="H319">
        <f>IF(A319="","",IF(G319&lt;&gt;"","Paid",IF(TODAY()&gt;E319,"OVERDUE","Awaiting payment")))</f>
        <v/>
      </c>
      <c r="I319">
        <f>IF(H319="OVERDUE",TODAY()-E319,"")</f>
        <v/>
      </c>
    </row>
    <row r="320">
      <c r="A320" s="4" t="n"/>
      <c r="B320" s="4" t="n"/>
      <c r="C320" s="19" t="n"/>
      <c r="D320" s="4" t="n"/>
      <c r="E320" s="9">
        <f>IF(OR(C320="",D320=""),"",C320+D320)</f>
        <v/>
      </c>
      <c r="F320" s="12" t="n"/>
      <c r="G320" s="19" t="n"/>
      <c r="H320">
        <f>IF(A320="","",IF(G320&lt;&gt;"","Paid",IF(TODAY()&gt;E320,"OVERDUE","Awaiting payment")))</f>
        <v/>
      </c>
      <c r="I320">
        <f>IF(H320="OVERDUE",TODAY()-E320,"")</f>
        <v/>
      </c>
    </row>
    <row r="321">
      <c r="A321" s="4" t="n"/>
      <c r="B321" s="4" t="n"/>
      <c r="C321" s="19" t="n"/>
      <c r="D321" s="4" t="n"/>
      <c r="E321" s="9">
        <f>IF(OR(C321="",D321=""),"",C321+D321)</f>
        <v/>
      </c>
      <c r="F321" s="12" t="n"/>
      <c r="G321" s="19" t="n"/>
      <c r="H321">
        <f>IF(A321="","",IF(G321&lt;&gt;"","Paid",IF(TODAY()&gt;E321,"OVERDUE","Awaiting payment")))</f>
        <v/>
      </c>
      <c r="I321">
        <f>IF(H321="OVERDUE",TODAY()-E321,"")</f>
        <v/>
      </c>
    </row>
    <row r="322">
      <c r="A322" s="4" t="n"/>
      <c r="B322" s="4" t="n"/>
      <c r="C322" s="19" t="n"/>
      <c r="D322" s="4" t="n"/>
      <c r="E322" s="9">
        <f>IF(OR(C322="",D322=""),"",C322+D322)</f>
        <v/>
      </c>
      <c r="F322" s="12" t="n"/>
      <c r="G322" s="19" t="n"/>
      <c r="H322">
        <f>IF(A322="","",IF(G322&lt;&gt;"","Paid",IF(TODAY()&gt;E322,"OVERDUE","Awaiting payment")))</f>
        <v/>
      </c>
      <c r="I322">
        <f>IF(H322="OVERDUE",TODAY()-E322,"")</f>
        <v/>
      </c>
    </row>
    <row r="323">
      <c r="A323" s="4" t="n"/>
      <c r="B323" s="4" t="n"/>
      <c r="C323" s="19" t="n"/>
      <c r="D323" s="4" t="n"/>
      <c r="E323" s="9">
        <f>IF(OR(C323="",D323=""),"",C323+D323)</f>
        <v/>
      </c>
      <c r="F323" s="12" t="n"/>
      <c r="G323" s="19" t="n"/>
      <c r="H323">
        <f>IF(A323="","",IF(G323&lt;&gt;"","Paid",IF(TODAY()&gt;E323,"OVERDUE","Awaiting payment")))</f>
        <v/>
      </c>
      <c r="I323">
        <f>IF(H323="OVERDUE",TODAY()-E323,"")</f>
        <v/>
      </c>
    </row>
    <row r="324">
      <c r="A324" s="4" t="n"/>
      <c r="B324" s="4" t="n"/>
      <c r="C324" s="19" t="n"/>
      <c r="D324" s="4" t="n"/>
      <c r="E324" s="9">
        <f>IF(OR(C324="",D324=""),"",C324+D324)</f>
        <v/>
      </c>
      <c r="F324" s="12" t="n"/>
      <c r="G324" s="19" t="n"/>
      <c r="H324">
        <f>IF(A324="","",IF(G324&lt;&gt;"","Paid",IF(TODAY()&gt;E324,"OVERDUE","Awaiting payment")))</f>
        <v/>
      </c>
      <c r="I324">
        <f>IF(H324="OVERDUE",TODAY()-E324,"")</f>
        <v/>
      </c>
    </row>
    <row r="325">
      <c r="A325" s="4" t="n"/>
      <c r="B325" s="4" t="n"/>
      <c r="C325" s="19" t="n"/>
      <c r="D325" s="4" t="n"/>
      <c r="E325" s="9">
        <f>IF(OR(C325="",D325=""),"",C325+D325)</f>
        <v/>
      </c>
      <c r="F325" s="12" t="n"/>
      <c r="G325" s="19" t="n"/>
      <c r="H325">
        <f>IF(A325="","",IF(G325&lt;&gt;"","Paid",IF(TODAY()&gt;E325,"OVERDUE","Awaiting payment")))</f>
        <v/>
      </c>
      <c r="I325">
        <f>IF(H325="OVERDUE",TODAY()-E325,"")</f>
        <v/>
      </c>
    </row>
    <row r="326">
      <c r="A326" s="4" t="n"/>
      <c r="B326" s="4" t="n"/>
      <c r="C326" s="19" t="n"/>
      <c r="D326" s="4" t="n"/>
      <c r="E326" s="9">
        <f>IF(OR(C326="",D326=""),"",C326+D326)</f>
        <v/>
      </c>
      <c r="F326" s="12" t="n"/>
      <c r="G326" s="19" t="n"/>
      <c r="H326">
        <f>IF(A326="","",IF(G326&lt;&gt;"","Paid",IF(TODAY()&gt;E326,"OVERDUE","Awaiting payment")))</f>
        <v/>
      </c>
      <c r="I326">
        <f>IF(H326="OVERDUE",TODAY()-E326,"")</f>
        <v/>
      </c>
    </row>
    <row r="327">
      <c r="A327" s="4" t="n"/>
      <c r="B327" s="4" t="n"/>
      <c r="C327" s="19" t="n"/>
      <c r="D327" s="4" t="n"/>
      <c r="E327" s="9">
        <f>IF(OR(C327="",D327=""),"",C327+D327)</f>
        <v/>
      </c>
      <c r="F327" s="12" t="n"/>
      <c r="G327" s="19" t="n"/>
      <c r="H327">
        <f>IF(A327="","",IF(G327&lt;&gt;"","Paid",IF(TODAY()&gt;E327,"OVERDUE","Awaiting payment")))</f>
        <v/>
      </c>
      <c r="I327">
        <f>IF(H327="OVERDUE",TODAY()-E327,"")</f>
        <v/>
      </c>
    </row>
    <row r="328">
      <c r="A328" s="4" t="n"/>
      <c r="B328" s="4" t="n"/>
      <c r="C328" s="19" t="n"/>
      <c r="D328" s="4" t="n"/>
      <c r="E328" s="9">
        <f>IF(OR(C328="",D328=""),"",C328+D328)</f>
        <v/>
      </c>
      <c r="F328" s="12" t="n"/>
      <c r="G328" s="19" t="n"/>
      <c r="H328">
        <f>IF(A328="","",IF(G328&lt;&gt;"","Paid",IF(TODAY()&gt;E328,"OVERDUE","Awaiting payment")))</f>
        <v/>
      </c>
      <c r="I328">
        <f>IF(H328="OVERDUE",TODAY()-E328,"")</f>
        <v/>
      </c>
    </row>
    <row r="329">
      <c r="A329" s="4" t="n"/>
      <c r="B329" s="4" t="n"/>
      <c r="C329" s="19" t="n"/>
      <c r="D329" s="4" t="n"/>
      <c r="E329" s="9">
        <f>IF(OR(C329="",D329=""),"",C329+D329)</f>
        <v/>
      </c>
      <c r="F329" s="12" t="n"/>
      <c r="G329" s="19" t="n"/>
      <c r="H329">
        <f>IF(A329="","",IF(G329&lt;&gt;"","Paid",IF(TODAY()&gt;E329,"OVERDUE","Awaiting payment")))</f>
        <v/>
      </c>
      <c r="I329">
        <f>IF(H329="OVERDUE",TODAY()-E329,"")</f>
        <v/>
      </c>
    </row>
    <row r="330">
      <c r="A330" s="4" t="n"/>
      <c r="B330" s="4" t="n"/>
      <c r="C330" s="19" t="n"/>
      <c r="D330" s="4" t="n"/>
      <c r="E330" s="9">
        <f>IF(OR(C330="",D330=""),"",C330+D330)</f>
        <v/>
      </c>
      <c r="F330" s="12" t="n"/>
      <c r="G330" s="19" t="n"/>
      <c r="H330">
        <f>IF(A330="","",IF(G330&lt;&gt;"","Paid",IF(TODAY()&gt;E330,"OVERDUE","Awaiting payment")))</f>
        <v/>
      </c>
      <c r="I330">
        <f>IF(H330="OVERDUE",TODAY()-E330,"")</f>
        <v/>
      </c>
    </row>
    <row r="331">
      <c r="A331" s="4" t="n"/>
      <c r="B331" s="4" t="n"/>
      <c r="C331" s="19" t="n"/>
      <c r="D331" s="4" t="n"/>
      <c r="E331" s="9">
        <f>IF(OR(C331="",D331=""),"",C331+D331)</f>
        <v/>
      </c>
      <c r="F331" s="12" t="n"/>
      <c r="G331" s="19" t="n"/>
      <c r="H331">
        <f>IF(A331="","",IF(G331&lt;&gt;"","Paid",IF(TODAY()&gt;E331,"OVERDUE","Awaiting payment")))</f>
        <v/>
      </c>
      <c r="I331">
        <f>IF(H331="OVERDUE",TODAY()-E331,"")</f>
        <v/>
      </c>
    </row>
    <row r="332">
      <c r="A332" s="4" t="n"/>
      <c r="B332" s="4" t="n"/>
      <c r="C332" s="19" t="n"/>
      <c r="D332" s="4" t="n"/>
      <c r="E332" s="9">
        <f>IF(OR(C332="",D332=""),"",C332+D332)</f>
        <v/>
      </c>
      <c r="F332" s="12" t="n"/>
      <c r="G332" s="19" t="n"/>
      <c r="H332">
        <f>IF(A332="","",IF(G332&lt;&gt;"","Paid",IF(TODAY()&gt;E332,"OVERDUE","Awaiting payment")))</f>
        <v/>
      </c>
      <c r="I332">
        <f>IF(H332="OVERDUE",TODAY()-E332,"")</f>
        <v/>
      </c>
    </row>
    <row r="333">
      <c r="A333" s="4" t="n"/>
      <c r="B333" s="4" t="n"/>
      <c r="C333" s="19" t="n"/>
      <c r="D333" s="4" t="n"/>
      <c r="E333" s="9">
        <f>IF(OR(C333="",D333=""),"",C333+D333)</f>
        <v/>
      </c>
      <c r="F333" s="12" t="n"/>
      <c r="G333" s="19" t="n"/>
      <c r="H333">
        <f>IF(A333="","",IF(G333&lt;&gt;"","Paid",IF(TODAY()&gt;E333,"OVERDUE","Awaiting payment")))</f>
        <v/>
      </c>
      <c r="I333">
        <f>IF(H333="OVERDUE",TODAY()-E333,"")</f>
        <v/>
      </c>
    </row>
    <row r="334">
      <c r="A334" s="4" t="n"/>
      <c r="B334" s="4" t="n"/>
      <c r="C334" s="19" t="n"/>
      <c r="D334" s="4" t="n"/>
      <c r="E334" s="9">
        <f>IF(OR(C334="",D334=""),"",C334+D334)</f>
        <v/>
      </c>
      <c r="F334" s="12" t="n"/>
      <c r="G334" s="19" t="n"/>
      <c r="H334">
        <f>IF(A334="","",IF(G334&lt;&gt;"","Paid",IF(TODAY()&gt;E334,"OVERDUE","Awaiting payment")))</f>
        <v/>
      </c>
      <c r="I334">
        <f>IF(H334="OVERDUE",TODAY()-E334,"")</f>
        <v/>
      </c>
    </row>
    <row r="335">
      <c r="A335" s="4" t="n"/>
      <c r="B335" s="4" t="n"/>
      <c r="C335" s="19" t="n"/>
      <c r="D335" s="4" t="n"/>
      <c r="E335" s="9">
        <f>IF(OR(C335="",D335=""),"",C335+D335)</f>
        <v/>
      </c>
      <c r="F335" s="12" t="n"/>
      <c r="G335" s="19" t="n"/>
      <c r="H335">
        <f>IF(A335="","",IF(G335&lt;&gt;"","Paid",IF(TODAY()&gt;E335,"OVERDUE","Awaiting payment")))</f>
        <v/>
      </c>
      <c r="I335">
        <f>IF(H335="OVERDUE",TODAY()-E335,"")</f>
        <v/>
      </c>
    </row>
    <row r="336">
      <c r="A336" s="4" t="n"/>
      <c r="B336" s="4" t="n"/>
      <c r="C336" s="19" t="n"/>
      <c r="D336" s="4" t="n"/>
      <c r="E336" s="9">
        <f>IF(OR(C336="",D336=""),"",C336+D336)</f>
        <v/>
      </c>
      <c r="F336" s="12" t="n"/>
      <c r="G336" s="19" t="n"/>
      <c r="H336">
        <f>IF(A336="","",IF(G336&lt;&gt;"","Paid",IF(TODAY()&gt;E336,"OVERDUE","Awaiting payment")))</f>
        <v/>
      </c>
      <c r="I336">
        <f>IF(H336="OVERDUE",TODAY()-E336,"")</f>
        <v/>
      </c>
    </row>
    <row r="337">
      <c r="A337" s="4" t="n"/>
      <c r="B337" s="4" t="n"/>
      <c r="C337" s="19" t="n"/>
      <c r="D337" s="4" t="n"/>
      <c r="E337" s="9">
        <f>IF(OR(C337="",D337=""),"",C337+D337)</f>
        <v/>
      </c>
      <c r="F337" s="12" t="n"/>
      <c r="G337" s="19" t="n"/>
      <c r="H337">
        <f>IF(A337="","",IF(G337&lt;&gt;"","Paid",IF(TODAY()&gt;E337,"OVERDUE","Awaiting payment")))</f>
        <v/>
      </c>
      <c r="I337">
        <f>IF(H337="OVERDUE",TODAY()-E337,"")</f>
        <v/>
      </c>
    </row>
    <row r="338">
      <c r="A338" s="4" t="n"/>
      <c r="B338" s="4" t="n"/>
      <c r="C338" s="19" t="n"/>
      <c r="D338" s="4" t="n"/>
      <c r="E338" s="9">
        <f>IF(OR(C338="",D338=""),"",C338+D338)</f>
        <v/>
      </c>
      <c r="F338" s="12" t="n"/>
      <c r="G338" s="19" t="n"/>
      <c r="H338">
        <f>IF(A338="","",IF(G338&lt;&gt;"","Paid",IF(TODAY()&gt;E338,"OVERDUE","Awaiting payment")))</f>
        <v/>
      </c>
      <c r="I338">
        <f>IF(H338="OVERDUE",TODAY()-E338,"")</f>
        <v/>
      </c>
    </row>
    <row r="339">
      <c r="A339" s="4" t="n"/>
      <c r="B339" s="4" t="n"/>
      <c r="C339" s="19" t="n"/>
      <c r="D339" s="4" t="n"/>
      <c r="E339" s="9">
        <f>IF(OR(C339="",D339=""),"",C339+D339)</f>
        <v/>
      </c>
      <c r="F339" s="12" t="n"/>
      <c r="G339" s="19" t="n"/>
      <c r="H339">
        <f>IF(A339="","",IF(G339&lt;&gt;"","Paid",IF(TODAY()&gt;E339,"OVERDUE","Awaiting payment")))</f>
        <v/>
      </c>
      <c r="I339">
        <f>IF(H339="OVERDUE",TODAY()-E339,"")</f>
        <v/>
      </c>
    </row>
    <row r="340">
      <c r="A340" s="4" t="n"/>
      <c r="B340" s="4" t="n"/>
      <c r="C340" s="19" t="n"/>
      <c r="D340" s="4" t="n"/>
      <c r="E340" s="9">
        <f>IF(OR(C340="",D340=""),"",C340+D340)</f>
        <v/>
      </c>
      <c r="F340" s="12" t="n"/>
      <c r="G340" s="19" t="n"/>
      <c r="H340">
        <f>IF(A340="","",IF(G340&lt;&gt;"","Paid",IF(TODAY()&gt;E340,"OVERDUE","Awaiting payment")))</f>
        <v/>
      </c>
      <c r="I340">
        <f>IF(H340="OVERDUE",TODAY()-E340,"")</f>
        <v/>
      </c>
    </row>
    <row r="341">
      <c r="A341" s="4" t="n"/>
      <c r="B341" s="4" t="n"/>
      <c r="C341" s="19" t="n"/>
      <c r="D341" s="4" t="n"/>
      <c r="E341" s="9">
        <f>IF(OR(C341="",D341=""),"",C341+D341)</f>
        <v/>
      </c>
      <c r="F341" s="12" t="n"/>
      <c r="G341" s="19" t="n"/>
      <c r="H341">
        <f>IF(A341="","",IF(G341&lt;&gt;"","Paid",IF(TODAY()&gt;E341,"OVERDUE","Awaiting payment")))</f>
        <v/>
      </c>
      <c r="I341">
        <f>IF(H341="OVERDUE",TODAY()-E341,"")</f>
        <v/>
      </c>
    </row>
    <row r="342">
      <c r="A342" s="4" t="n"/>
      <c r="B342" s="4" t="n"/>
      <c r="C342" s="19" t="n"/>
      <c r="D342" s="4" t="n"/>
      <c r="E342" s="9">
        <f>IF(OR(C342="",D342=""),"",C342+D342)</f>
        <v/>
      </c>
      <c r="F342" s="12" t="n"/>
      <c r="G342" s="19" t="n"/>
      <c r="H342">
        <f>IF(A342="","",IF(G342&lt;&gt;"","Paid",IF(TODAY()&gt;E342,"OVERDUE","Awaiting payment")))</f>
        <v/>
      </c>
      <c r="I342">
        <f>IF(H342="OVERDUE",TODAY()-E342,"")</f>
        <v/>
      </c>
    </row>
    <row r="343">
      <c r="A343" s="4" t="n"/>
      <c r="B343" s="4" t="n"/>
      <c r="C343" s="19" t="n"/>
      <c r="D343" s="4" t="n"/>
      <c r="E343" s="9">
        <f>IF(OR(C343="",D343=""),"",C343+D343)</f>
        <v/>
      </c>
      <c r="F343" s="12" t="n"/>
      <c r="G343" s="19" t="n"/>
      <c r="H343">
        <f>IF(A343="","",IF(G343&lt;&gt;"","Paid",IF(TODAY()&gt;E343,"OVERDUE","Awaiting payment")))</f>
        <v/>
      </c>
      <c r="I343">
        <f>IF(H343="OVERDUE",TODAY()-E343,"")</f>
        <v/>
      </c>
    </row>
    <row r="344">
      <c r="A344" s="4" t="n"/>
      <c r="B344" s="4" t="n"/>
      <c r="C344" s="19" t="n"/>
      <c r="D344" s="4" t="n"/>
      <c r="E344" s="9">
        <f>IF(OR(C344="",D344=""),"",C344+D344)</f>
        <v/>
      </c>
      <c r="F344" s="12" t="n"/>
      <c r="G344" s="19" t="n"/>
      <c r="H344">
        <f>IF(A344="","",IF(G344&lt;&gt;"","Paid",IF(TODAY()&gt;E344,"OVERDUE","Awaiting payment")))</f>
        <v/>
      </c>
      <c r="I344">
        <f>IF(H344="OVERDUE",TODAY()-E344,"")</f>
        <v/>
      </c>
    </row>
    <row r="345">
      <c r="A345" s="4" t="n"/>
      <c r="B345" s="4" t="n"/>
      <c r="C345" s="19" t="n"/>
      <c r="D345" s="4" t="n"/>
      <c r="E345" s="9">
        <f>IF(OR(C345="",D345=""),"",C345+D345)</f>
        <v/>
      </c>
      <c r="F345" s="12" t="n"/>
      <c r="G345" s="19" t="n"/>
      <c r="H345">
        <f>IF(A345="","",IF(G345&lt;&gt;"","Paid",IF(TODAY()&gt;E345,"OVERDUE","Awaiting payment")))</f>
        <v/>
      </c>
      <c r="I345">
        <f>IF(H345="OVERDUE",TODAY()-E345,"")</f>
        <v/>
      </c>
    </row>
    <row r="346">
      <c r="A346" s="4" t="n"/>
      <c r="B346" s="4" t="n"/>
      <c r="C346" s="19" t="n"/>
      <c r="D346" s="4" t="n"/>
      <c r="E346" s="9">
        <f>IF(OR(C346="",D346=""),"",C346+D346)</f>
        <v/>
      </c>
      <c r="F346" s="12" t="n"/>
      <c r="G346" s="19" t="n"/>
      <c r="H346">
        <f>IF(A346="","",IF(G346&lt;&gt;"","Paid",IF(TODAY()&gt;E346,"OVERDUE","Awaiting payment")))</f>
        <v/>
      </c>
      <c r="I346">
        <f>IF(H346="OVERDUE",TODAY()-E346,"")</f>
        <v/>
      </c>
    </row>
    <row r="347">
      <c r="A347" s="4" t="n"/>
      <c r="B347" s="4" t="n"/>
      <c r="C347" s="19" t="n"/>
      <c r="D347" s="4" t="n"/>
      <c r="E347" s="9">
        <f>IF(OR(C347="",D347=""),"",C347+D347)</f>
        <v/>
      </c>
      <c r="F347" s="12" t="n"/>
      <c r="G347" s="19" t="n"/>
      <c r="H347">
        <f>IF(A347="","",IF(G347&lt;&gt;"","Paid",IF(TODAY()&gt;E347,"OVERDUE","Awaiting payment")))</f>
        <v/>
      </c>
      <c r="I347">
        <f>IF(H347="OVERDUE",TODAY()-E347,"")</f>
        <v/>
      </c>
    </row>
    <row r="348">
      <c r="A348" s="4" t="n"/>
      <c r="B348" s="4" t="n"/>
      <c r="C348" s="19" t="n"/>
      <c r="D348" s="4" t="n"/>
      <c r="E348" s="9">
        <f>IF(OR(C348="",D348=""),"",C348+D348)</f>
        <v/>
      </c>
      <c r="F348" s="12" t="n"/>
      <c r="G348" s="19" t="n"/>
      <c r="H348">
        <f>IF(A348="","",IF(G348&lt;&gt;"","Paid",IF(TODAY()&gt;E348,"OVERDUE","Awaiting payment")))</f>
        <v/>
      </c>
      <c r="I348">
        <f>IF(H348="OVERDUE",TODAY()-E348,"")</f>
        <v/>
      </c>
    </row>
    <row r="349">
      <c r="A349" s="4" t="n"/>
      <c r="B349" s="4" t="n"/>
      <c r="C349" s="19" t="n"/>
      <c r="D349" s="4" t="n"/>
      <c r="E349" s="9">
        <f>IF(OR(C349="",D349=""),"",C349+D349)</f>
        <v/>
      </c>
      <c r="F349" s="12" t="n"/>
      <c r="G349" s="19" t="n"/>
      <c r="H349">
        <f>IF(A349="","",IF(G349&lt;&gt;"","Paid",IF(TODAY()&gt;E349,"OVERDUE","Awaiting payment")))</f>
        <v/>
      </c>
      <c r="I349">
        <f>IF(H349="OVERDUE",TODAY()-E349,"")</f>
        <v/>
      </c>
    </row>
    <row r="350">
      <c r="A350" s="4" t="n"/>
      <c r="B350" s="4" t="n"/>
      <c r="C350" s="19" t="n"/>
      <c r="D350" s="4" t="n"/>
      <c r="E350" s="9">
        <f>IF(OR(C350="",D350=""),"",C350+D350)</f>
        <v/>
      </c>
      <c r="F350" s="12" t="n"/>
      <c r="G350" s="19" t="n"/>
      <c r="H350">
        <f>IF(A350="","",IF(G350&lt;&gt;"","Paid",IF(TODAY()&gt;E350,"OVERDUE","Awaiting payment")))</f>
        <v/>
      </c>
      <c r="I350">
        <f>IF(H350="OVERDUE",TODAY()-E350,"")</f>
        <v/>
      </c>
    </row>
    <row r="351">
      <c r="A351" s="4" t="n"/>
      <c r="B351" s="4" t="n"/>
      <c r="C351" s="19" t="n"/>
      <c r="D351" s="4" t="n"/>
      <c r="E351" s="9">
        <f>IF(OR(C351="",D351=""),"",C351+D351)</f>
        <v/>
      </c>
      <c r="F351" s="12" t="n"/>
      <c r="G351" s="19" t="n"/>
      <c r="H351">
        <f>IF(A351="","",IF(G351&lt;&gt;"","Paid",IF(TODAY()&gt;E351,"OVERDUE","Awaiting payment")))</f>
        <v/>
      </c>
      <c r="I351">
        <f>IF(H351="OVERDUE",TODAY()-E351,"")</f>
        <v/>
      </c>
    </row>
    <row r="352">
      <c r="A352" s="4" t="n"/>
      <c r="B352" s="4" t="n"/>
      <c r="C352" s="19" t="n"/>
      <c r="D352" s="4" t="n"/>
      <c r="E352" s="9">
        <f>IF(OR(C352="",D352=""),"",C352+D352)</f>
        <v/>
      </c>
      <c r="F352" s="12" t="n"/>
      <c r="G352" s="19" t="n"/>
      <c r="H352">
        <f>IF(A352="","",IF(G352&lt;&gt;"","Paid",IF(TODAY()&gt;E352,"OVERDUE","Awaiting payment")))</f>
        <v/>
      </c>
      <c r="I352">
        <f>IF(H352="OVERDUE",TODAY()-E352,"")</f>
        <v/>
      </c>
    </row>
    <row r="353">
      <c r="A353" s="4" t="n"/>
      <c r="B353" s="4" t="n"/>
      <c r="C353" s="19" t="n"/>
      <c r="D353" s="4" t="n"/>
      <c r="E353" s="9">
        <f>IF(OR(C353="",D353=""),"",C353+D353)</f>
        <v/>
      </c>
      <c r="F353" s="12" t="n"/>
      <c r="G353" s="19" t="n"/>
      <c r="H353">
        <f>IF(A353="","",IF(G353&lt;&gt;"","Paid",IF(TODAY()&gt;E353,"OVERDUE","Awaiting payment")))</f>
        <v/>
      </c>
      <c r="I353">
        <f>IF(H353="OVERDUE",TODAY()-E353,"")</f>
        <v/>
      </c>
    </row>
    <row r="354">
      <c r="A354" s="4" t="n"/>
      <c r="B354" s="4" t="n"/>
      <c r="C354" s="19" t="n"/>
      <c r="D354" s="4" t="n"/>
      <c r="E354" s="9">
        <f>IF(OR(C354="",D354=""),"",C354+D354)</f>
        <v/>
      </c>
      <c r="F354" s="12" t="n"/>
      <c r="G354" s="19" t="n"/>
      <c r="H354">
        <f>IF(A354="","",IF(G354&lt;&gt;"","Paid",IF(TODAY()&gt;E354,"OVERDUE","Awaiting payment")))</f>
        <v/>
      </c>
      <c r="I354">
        <f>IF(H354="OVERDUE",TODAY()-E354,"")</f>
        <v/>
      </c>
    </row>
    <row r="355">
      <c r="A355" s="4" t="n"/>
      <c r="B355" s="4" t="n"/>
      <c r="C355" s="19" t="n"/>
      <c r="D355" s="4" t="n"/>
      <c r="E355" s="9">
        <f>IF(OR(C355="",D355=""),"",C355+D355)</f>
        <v/>
      </c>
      <c r="F355" s="12" t="n"/>
      <c r="G355" s="19" t="n"/>
      <c r="H355">
        <f>IF(A355="","",IF(G355&lt;&gt;"","Paid",IF(TODAY()&gt;E355,"OVERDUE","Awaiting payment")))</f>
        <v/>
      </c>
      <c r="I355">
        <f>IF(H355="OVERDUE",TODAY()-E355,"")</f>
        <v/>
      </c>
    </row>
    <row r="356">
      <c r="A356" s="4" t="n"/>
      <c r="B356" s="4" t="n"/>
      <c r="C356" s="19" t="n"/>
      <c r="D356" s="4" t="n"/>
      <c r="E356" s="9">
        <f>IF(OR(C356="",D356=""),"",C356+D356)</f>
        <v/>
      </c>
      <c r="F356" s="12" t="n"/>
      <c r="G356" s="19" t="n"/>
      <c r="H356">
        <f>IF(A356="","",IF(G356&lt;&gt;"","Paid",IF(TODAY()&gt;E356,"OVERDUE","Awaiting payment")))</f>
        <v/>
      </c>
      <c r="I356">
        <f>IF(H356="OVERDUE",TODAY()-E356,"")</f>
        <v/>
      </c>
    </row>
    <row r="357">
      <c r="A357" s="4" t="n"/>
      <c r="B357" s="4" t="n"/>
      <c r="C357" s="19" t="n"/>
      <c r="D357" s="4" t="n"/>
      <c r="E357" s="9">
        <f>IF(OR(C357="",D357=""),"",C357+D357)</f>
        <v/>
      </c>
      <c r="F357" s="12" t="n"/>
      <c r="G357" s="19" t="n"/>
      <c r="H357">
        <f>IF(A357="","",IF(G357&lt;&gt;"","Paid",IF(TODAY()&gt;E357,"OVERDUE","Awaiting payment")))</f>
        <v/>
      </c>
      <c r="I357">
        <f>IF(H357="OVERDUE",TODAY()-E357,"")</f>
        <v/>
      </c>
    </row>
    <row r="358">
      <c r="A358" s="4" t="n"/>
      <c r="B358" s="4" t="n"/>
      <c r="C358" s="19" t="n"/>
      <c r="D358" s="4" t="n"/>
      <c r="E358" s="9">
        <f>IF(OR(C358="",D358=""),"",C358+D358)</f>
        <v/>
      </c>
      <c r="F358" s="12" t="n"/>
      <c r="G358" s="19" t="n"/>
      <c r="H358">
        <f>IF(A358="","",IF(G358&lt;&gt;"","Paid",IF(TODAY()&gt;E358,"OVERDUE","Awaiting payment")))</f>
        <v/>
      </c>
      <c r="I358">
        <f>IF(H358="OVERDUE",TODAY()-E358,"")</f>
        <v/>
      </c>
    </row>
    <row r="359">
      <c r="A359" s="4" t="n"/>
      <c r="B359" s="4" t="n"/>
      <c r="C359" s="19" t="n"/>
      <c r="D359" s="4" t="n"/>
      <c r="E359" s="9">
        <f>IF(OR(C359="",D359=""),"",C359+D359)</f>
        <v/>
      </c>
      <c r="F359" s="12" t="n"/>
      <c r="G359" s="19" t="n"/>
      <c r="H359">
        <f>IF(A359="","",IF(G359&lt;&gt;"","Paid",IF(TODAY()&gt;E359,"OVERDUE","Awaiting payment")))</f>
        <v/>
      </c>
      <c r="I359">
        <f>IF(H359="OVERDUE",TODAY()-E359,"")</f>
        <v/>
      </c>
    </row>
    <row r="360">
      <c r="A360" s="4" t="n"/>
      <c r="B360" s="4" t="n"/>
      <c r="C360" s="19" t="n"/>
      <c r="D360" s="4" t="n"/>
      <c r="E360" s="9">
        <f>IF(OR(C360="",D360=""),"",C360+D360)</f>
        <v/>
      </c>
      <c r="F360" s="12" t="n"/>
      <c r="G360" s="19" t="n"/>
      <c r="H360">
        <f>IF(A360="","",IF(G360&lt;&gt;"","Paid",IF(TODAY()&gt;E360,"OVERDUE","Awaiting payment")))</f>
        <v/>
      </c>
      <c r="I360">
        <f>IF(H360="OVERDUE",TODAY()-E360,"")</f>
        <v/>
      </c>
    </row>
    <row r="361">
      <c r="A361" s="4" t="n"/>
      <c r="B361" s="4" t="n"/>
      <c r="C361" s="19" t="n"/>
      <c r="D361" s="4" t="n"/>
      <c r="E361" s="9">
        <f>IF(OR(C361="",D361=""),"",C361+D361)</f>
        <v/>
      </c>
      <c r="F361" s="12" t="n"/>
      <c r="G361" s="19" t="n"/>
      <c r="H361">
        <f>IF(A361="","",IF(G361&lt;&gt;"","Paid",IF(TODAY()&gt;E361,"OVERDUE","Awaiting payment")))</f>
        <v/>
      </c>
      <c r="I361">
        <f>IF(H361="OVERDUE",TODAY()-E361,"")</f>
        <v/>
      </c>
    </row>
    <row r="362">
      <c r="A362" s="4" t="n"/>
      <c r="B362" s="4" t="n"/>
      <c r="C362" s="19" t="n"/>
      <c r="D362" s="4" t="n"/>
      <c r="E362" s="9">
        <f>IF(OR(C362="",D362=""),"",C362+D362)</f>
        <v/>
      </c>
      <c r="F362" s="12" t="n"/>
      <c r="G362" s="19" t="n"/>
      <c r="H362">
        <f>IF(A362="","",IF(G362&lt;&gt;"","Paid",IF(TODAY()&gt;E362,"OVERDUE","Awaiting payment")))</f>
        <v/>
      </c>
      <c r="I362">
        <f>IF(H362="OVERDUE",TODAY()-E362,"")</f>
        <v/>
      </c>
    </row>
    <row r="363">
      <c r="A363" s="4" t="n"/>
      <c r="B363" s="4" t="n"/>
      <c r="C363" s="19" t="n"/>
      <c r="D363" s="4" t="n"/>
      <c r="E363" s="9">
        <f>IF(OR(C363="",D363=""),"",C363+D363)</f>
        <v/>
      </c>
      <c r="F363" s="12" t="n"/>
      <c r="G363" s="19" t="n"/>
      <c r="H363">
        <f>IF(A363="","",IF(G363&lt;&gt;"","Paid",IF(TODAY()&gt;E363,"OVERDUE","Awaiting payment")))</f>
        <v/>
      </c>
      <c r="I363">
        <f>IF(H363="OVERDUE",TODAY()-E363,"")</f>
        <v/>
      </c>
    </row>
    <row r="364">
      <c r="A364" s="4" t="n"/>
      <c r="B364" s="4" t="n"/>
      <c r="C364" s="19" t="n"/>
      <c r="D364" s="4" t="n"/>
      <c r="E364" s="9">
        <f>IF(OR(C364="",D364=""),"",C364+D364)</f>
        <v/>
      </c>
      <c r="F364" s="12" t="n"/>
      <c r="G364" s="19" t="n"/>
      <c r="H364">
        <f>IF(A364="","",IF(G364&lt;&gt;"","Paid",IF(TODAY()&gt;E364,"OVERDUE","Awaiting payment")))</f>
        <v/>
      </c>
      <c r="I364">
        <f>IF(H364="OVERDUE",TODAY()-E364,"")</f>
        <v/>
      </c>
    </row>
    <row r="365">
      <c r="A365" s="4" t="n"/>
      <c r="B365" s="4" t="n"/>
      <c r="C365" s="19" t="n"/>
      <c r="D365" s="4" t="n"/>
      <c r="E365" s="9">
        <f>IF(OR(C365="",D365=""),"",C365+D365)</f>
        <v/>
      </c>
      <c r="F365" s="12" t="n"/>
      <c r="G365" s="19" t="n"/>
      <c r="H365">
        <f>IF(A365="","",IF(G365&lt;&gt;"","Paid",IF(TODAY()&gt;E365,"OVERDUE","Awaiting payment")))</f>
        <v/>
      </c>
      <c r="I365">
        <f>IF(H365="OVERDUE",TODAY()-E365,"")</f>
        <v/>
      </c>
    </row>
    <row r="366">
      <c r="A366" s="4" t="n"/>
      <c r="B366" s="4" t="n"/>
      <c r="C366" s="19" t="n"/>
      <c r="D366" s="4" t="n"/>
      <c r="E366" s="9">
        <f>IF(OR(C366="",D366=""),"",C366+D366)</f>
        <v/>
      </c>
      <c r="F366" s="12" t="n"/>
      <c r="G366" s="19" t="n"/>
      <c r="H366">
        <f>IF(A366="","",IF(G366&lt;&gt;"","Paid",IF(TODAY()&gt;E366,"OVERDUE","Awaiting payment")))</f>
        <v/>
      </c>
      <c r="I366">
        <f>IF(H366="OVERDUE",TODAY()-E366,"")</f>
        <v/>
      </c>
    </row>
    <row r="367">
      <c r="A367" s="4" t="n"/>
      <c r="B367" s="4" t="n"/>
      <c r="C367" s="19" t="n"/>
      <c r="D367" s="4" t="n"/>
      <c r="E367" s="9">
        <f>IF(OR(C367="",D367=""),"",C367+D367)</f>
        <v/>
      </c>
      <c r="F367" s="12" t="n"/>
      <c r="G367" s="19" t="n"/>
      <c r="H367">
        <f>IF(A367="","",IF(G367&lt;&gt;"","Paid",IF(TODAY()&gt;E367,"OVERDUE","Awaiting payment")))</f>
        <v/>
      </c>
      <c r="I367">
        <f>IF(H367="OVERDUE",TODAY()-E367,"")</f>
        <v/>
      </c>
    </row>
    <row r="368">
      <c r="A368" s="4" t="n"/>
      <c r="B368" s="4" t="n"/>
      <c r="C368" s="19" t="n"/>
      <c r="D368" s="4" t="n"/>
      <c r="E368" s="9">
        <f>IF(OR(C368="",D368=""),"",C368+D368)</f>
        <v/>
      </c>
      <c r="F368" s="12" t="n"/>
      <c r="G368" s="19" t="n"/>
      <c r="H368">
        <f>IF(A368="","",IF(G368&lt;&gt;"","Paid",IF(TODAY()&gt;E368,"OVERDUE","Awaiting payment")))</f>
        <v/>
      </c>
      <c r="I368">
        <f>IF(H368="OVERDUE",TODAY()-E368,"")</f>
        <v/>
      </c>
    </row>
    <row r="369">
      <c r="A369" s="4" t="n"/>
      <c r="B369" s="4" t="n"/>
      <c r="C369" s="19" t="n"/>
      <c r="D369" s="4" t="n"/>
      <c r="E369" s="9">
        <f>IF(OR(C369="",D369=""),"",C369+D369)</f>
        <v/>
      </c>
      <c r="F369" s="12" t="n"/>
      <c r="G369" s="19" t="n"/>
      <c r="H369">
        <f>IF(A369="","",IF(G369&lt;&gt;"","Paid",IF(TODAY()&gt;E369,"OVERDUE","Awaiting payment")))</f>
        <v/>
      </c>
      <c r="I369">
        <f>IF(H369="OVERDUE",TODAY()-E369,"")</f>
        <v/>
      </c>
    </row>
    <row r="370">
      <c r="A370" s="4" t="n"/>
      <c r="B370" s="4" t="n"/>
      <c r="C370" s="19" t="n"/>
      <c r="D370" s="4" t="n"/>
      <c r="E370" s="9">
        <f>IF(OR(C370="",D370=""),"",C370+D370)</f>
        <v/>
      </c>
      <c r="F370" s="12" t="n"/>
      <c r="G370" s="19" t="n"/>
      <c r="H370">
        <f>IF(A370="","",IF(G370&lt;&gt;"","Paid",IF(TODAY()&gt;E370,"OVERDUE","Awaiting payment")))</f>
        <v/>
      </c>
      <c r="I370">
        <f>IF(H370="OVERDUE",TODAY()-E370,"")</f>
        <v/>
      </c>
    </row>
    <row r="371">
      <c r="A371" s="4" t="n"/>
      <c r="B371" s="4" t="n"/>
      <c r="C371" s="19" t="n"/>
      <c r="D371" s="4" t="n"/>
      <c r="E371" s="9">
        <f>IF(OR(C371="",D371=""),"",C371+D371)</f>
        <v/>
      </c>
      <c r="F371" s="12" t="n"/>
      <c r="G371" s="19" t="n"/>
      <c r="H371">
        <f>IF(A371="","",IF(G371&lt;&gt;"","Paid",IF(TODAY()&gt;E371,"OVERDUE","Awaiting payment")))</f>
        <v/>
      </c>
      <c r="I371">
        <f>IF(H371="OVERDUE",TODAY()-E371,"")</f>
        <v/>
      </c>
    </row>
    <row r="372">
      <c r="A372" s="4" t="n"/>
      <c r="B372" s="4" t="n"/>
      <c r="C372" s="19" t="n"/>
      <c r="D372" s="4" t="n"/>
      <c r="E372" s="9">
        <f>IF(OR(C372="",D372=""),"",C372+D372)</f>
        <v/>
      </c>
      <c r="F372" s="12" t="n"/>
      <c r="G372" s="19" t="n"/>
      <c r="H372">
        <f>IF(A372="","",IF(G372&lt;&gt;"","Paid",IF(TODAY()&gt;E372,"OVERDUE","Awaiting payment")))</f>
        <v/>
      </c>
      <c r="I372">
        <f>IF(H372="OVERDUE",TODAY()-E372,"")</f>
        <v/>
      </c>
    </row>
    <row r="373">
      <c r="A373" s="4" t="n"/>
      <c r="B373" s="4" t="n"/>
      <c r="C373" s="19" t="n"/>
      <c r="D373" s="4" t="n"/>
      <c r="E373" s="9">
        <f>IF(OR(C373="",D373=""),"",C373+D373)</f>
        <v/>
      </c>
      <c r="F373" s="12" t="n"/>
      <c r="G373" s="19" t="n"/>
      <c r="H373">
        <f>IF(A373="","",IF(G373&lt;&gt;"","Paid",IF(TODAY()&gt;E373,"OVERDUE","Awaiting payment")))</f>
        <v/>
      </c>
      <c r="I373">
        <f>IF(H373="OVERDUE",TODAY()-E373,"")</f>
        <v/>
      </c>
    </row>
    <row r="374">
      <c r="A374" s="4" t="n"/>
      <c r="B374" s="4" t="n"/>
      <c r="C374" s="19" t="n"/>
      <c r="D374" s="4" t="n"/>
      <c r="E374" s="9">
        <f>IF(OR(C374="",D374=""),"",C374+D374)</f>
        <v/>
      </c>
      <c r="F374" s="12" t="n"/>
      <c r="G374" s="19" t="n"/>
      <c r="H374">
        <f>IF(A374="","",IF(G374&lt;&gt;"","Paid",IF(TODAY()&gt;E374,"OVERDUE","Awaiting payment")))</f>
        <v/>
      </c>
      <c r="I374">
        <f>IF(H374="OVERDUE",TODAY()-E374,"")</f>
        <v/>
      </c>
    </row>
    <row r="375">
      <c r="A375" s="4" t="n"/>
      <c r="B375" s="4" t="n"/>
      <c r="C375" s="19" t="n"/>
      <c r="D375" s="4" t="n"/>
      <c r="E375" s="9">
        <f>IF(OR(C375="",D375=""),"",C375+D375)</f>
        <v/>
      </c>
      <c r="F375" s="12" t="n"/>
      <c r="G375" s="19" t="n"/>
      <c r="H375">
        <f>IF(A375="","",IF(G375&lt;&gt;"","Paid",IF(TODAY()&gt;E375,"OVERDUE","Awaiting payment")))</f>
        <v/>
      </c>
      <c r="I375">
        <f>IF(H375="OVERDUE",TODAY()-E375,"")</f>
        <v/>
      </c>
    </row>
    <row r="376">
      <c r="A376" s="4" t="n"/>
      <c r="B376" s="4" t="n"/>
      <c r="C376" s="19" t="n"/>
      <c r="D376" s="4" t="n"/>
      <c r="E376" s="9">
        <f>IF(OR(C376="",D376=""),"",C376+D376)</f>
        <v/>
      </c>
      <c r="F376" s="12" t="n"/>
      <c r="G376" s="19" t="n"/>
      <c r="H376">
        <f>IF(A376="","",IF(G376&lt;&gt;"","Paid",IF(TODAY()&gt;E376,"OVERDUE","Awaiting payment")))</f>
        <v/>
      </c>
      <c r="I376">
        <f>IF(H376="OVERDUE",TODAY()-E376,"")</f>
        <v/>
      </c>
    </row>
    <row r="377">
      <c r="A377" s="4" t="n"/>
      <c r="B377" s="4" t="n"/>
      <c r="C377" s="19" t="n"/>
      <c r="D377" s="4" t="n"/>
      <c r="E377" s="9">
        <f>IF(OR(C377="",D377=""),"",C377+D377)</f>
        <v/>
      </c>
      <c r="F377" s="12" t="n"/>
      <c r="G377" s="19" t="n"/>
      <c r="H377">
        <f>IF(A377="","",IF(G377&lt;&gt;"","Paid",IF(TODAY()&gt;E377,"OVERDUE","Awaiting payment")))</f>
        <v/>
      </c>
      <c r="I377">
        <f>IF(H377="OVERDUE",TODAY()-E377,"")</f>
        <v/>
      </c>
    </row>
    <row r="378">
      <c r="A378" s="4" t="n"/>
      <c r="B378" s="4" t="n"/>
      <c r="C378" s="19" t="n"/>
      <c r="D378" s="4" t="n"/>
      <c r="E378" s="9">
        <f>IF(OR(C378="",D378=""),"",C378+D378)</f>
        <v/>
      </c>
      <c r="F378" s="12" t="n"/>
      <c r="G378" s="19" t="n"/>
      <c r="H378">
        <f>IF(A378="","",IF(G378&lt;&gt;"","Paid",IF(TODAY()&gt;E378,"OVERDUE","Awaiting payment")))</f>
        <v/>
      </c>
      <c r="I378">
        <f>IF(H378="OVERDUE",TODAY()-E378,"")</f>
        <v/>
      </c>
    </row>
    <row r="379">
      <c r="A379" s="4" t="n"/>
      <c r="B379" s="4" t="n"/>
      <c r="C379" s="19" t="n"/>
      <c r="D379" s="4" t="n"/>
      <c r="E379" s="9">
        <f>IF(OR(C379="",D379=""),"",C379+D379)</f>
        <v/>
      </c>
      <c r="F379" s="12" t="n"/>
      <c r="G379" s="19" t="n"/>
      <c r="H379">
        <f>IF(A379="","",IF(G379&lt;&gt;"","Paid",IF(TODAY()&gt;E379,"OVERDUE","Awaiting payment")))</f>
        <v/>
      </c>
      <c r="I379">
        <f>IF(H379="OVERDUE",TODAY()-E379,"")</f>
        <v/>
      </c>
    </row>
    <row r="380">
      <c r="A380" s="4" t="n"/>
      <c r="B380" s="4" t="n"/>
      <c r="C380" s="19" t="n"/>
      <c r="D380" s="4" t="n"/>
      <c r="E380" s="9">
        <f>IF(OR(C380="",D380=""),"",C380+D380)</f>
        <v/>
      </c>
      <c r="F380" s="12" t="n"/>
      <c r="G380" s="19" t="n"/>
      <c r="H380">
        <f>IF(A380="","",IF(G380&lt;&gt;"","Paid",IF(TODAY()&gt;E380,"OVERDUE","Awaiting payment")))</f>
        <v/>
      </c>
      <c r="I380">
        <f>IF(H380="OVERDUE",TODAY()-E380,"")</f>
        <v/>
      </c>
    </row>
    <row r="381">
      <c r="A381" s="4" t="n"/>
      <c r="B381" s="4" t="n"/>
      <c r="C381" s="19" t="n"/>
      <c r="D381" s="4" t="n"/>
      <c r="E381" s="9">
        <f>IF(OR(C381="",D381=""),"",C381+D381)</f>
        <v/>
      </c>
      <c r="F381" s="12" t="n"/>
      <c r="G381" s="19" t="n"/>
      <c r="H381">
        <f>IF(A381="","",IF(G381&lt;&gt;"","Paid",IF(TODAY()&gt;E381,"OVERDUE","Awaiting payment")))</f>
        <v/>
      </c>
      <c r="I381">
        <f>IF(H381="OVERDUE",TODAY()-E381,"")</f>
        <v/>
      </c>
    </row>
    <row r="382">
      <c r="A382" s="4" t="n"/>
      <c r="B382" s="4" t="n"/>
      <c r="C382" s="19" t="n"/>
      <c r="D382" s="4" t="n"/>
      <c r="E382" s="9">
        <f>IF(OR(C382="",D382=""),"",C382+D382)</f>
        <v/>
      </c>
      <c r="F382" s="12" t="n"/>
      <c r="G382" s="19" t="n"/>
      <c r="H382">
        <f>IF(A382="","",IF(G382&lt;&gt;"","Paid",IF(TODAY()&gt;E382,"OVERDUE","Awaiting payment")))</f>
        <v/>
      </c>
      <c r="I382">
        <f>IF(H382="OVERDUE",TODAY()-E382,"")</f>
        <v/>
      </c>
    </row>
    <row r="383">
      <c r="A383" s="4" t="n"/>
      <c r="B383" s="4" t="n"/>
      <c r="C383" s="19" t="n"/>
      <c r="D383" s="4" t="n"/>
      <c r="E383" s="9">
        <f>IF(OR(C383="",D383=""),"",C383+D383)</f>
        <v/>
      </c>
      <c r="F383" s="12" t="n"/>
      <c r="G383" s="19" t="n"/>
      <c r="H383">
        <f>IF(A383="","",IF(G383&lt;&gt;"","Paid",IF(TODAY()&gt;E383,"OVERDUE","Awaiting payment")))</f>
        <v/>
      </c>
      <c r="I383">
        <f>IF(H383="OVERDUE",TODAY()-E383,"")</f>
        <v/>
      </c>
    </row>
    <row r="384">
      <c r="A384" s="4" t="n"/>
      <c r="B384" s="4" t="n"/>
      <c r="C384" s="19" t="n"/>
      <c r="D384" s="4" t="n"/>
      <c r="E384" s="9">
        <f>IF(OR(C384="",D384=""),"",C384+D384)</f>
        <v/>
      </c>
      <c r="F384" s="12" t="n"/>
      <c r="G384" s="19" t="n"/>
      <c r="H384">
        <f>IF(A384="","",IF(G384&lt;&gt;"","Paid",IF(TODAY()&gt;E384,"OVERDUE","Awaiting payment")))</f>
        <v/>
      </c>
      <c r="I384">
        <f>IF(H384="OVERDUE",TODAY()-E384,"")</f>
        <v/>
      </c>
    </row>
    <row r="385">
      <c r="A385" s="4" t="n"/>
      <c r="B385" s="4" t="n"/>
      <c r="C385" s="19" t="n"/>
      <c r="D385" s="4" t="n"/>
      <c r="E385" s="9">
        <f>IF(OR(C385="",D385=""),"",C385+D385)</f>
        <v/>
      </c>
      <c r="F385" s="12" t="n"/>
      <c r="G385" s="19" t="n"/>
      <c r="H385">
        <f>IF(A385="","",IF(G385&lt;&gt;"","Paid",IF(TODAY()&gt;E385,"OVERDUE","Awaiting payment")))</f>
        <v/>
      </c>
      <c r="I385">
        <f>IF(H385="OVERDUE",TODAY()-E385,"")</f>
        <v/>
      </c>
    </row>
    <row r="386">
      <c r="A386" s="4" t="n"/>
      <c r="B386" s="4" t="n"/>
      <c r="C386" s="19" t="n"/>
      <c r="D386" s="4" t="n"/>
      <c r="E386" s="9">
        <f>IF(OR(C386="",D386=""),"",C386+D386)</f>
        <v/>
      </c>
      <c r="F386" s="12" t="n"/>
      <c r="G386" s="19" t="n"/>
      <c r="H386">
        <f>IF(A386="","",IF(G386&lt;&gt;"","Paid",IF(TODAY()&gt;E386,"OVERDUE","Awaiting payment")))</f>
        <v/>
      </c>
      <c r="I386">
        <f>IF(H386="OVERDUE",TODAY()-E386,"")</f>
        <v/>
      </c>
    </row>
    <row r="387">
      <c r="A387" s="4" t="n"/>
      <c r="B387" s="4" t="n"/>
      <c r="C387" s="19" t="n"/>
      <c r="D387" s="4" t="n"/>
      <c r="E387" s="9">
        <f>IF(OR(C387="",D387=""),"",C387+D387)</f>
        <v/>
      </c>
      <c r="F387" s="12" t="n"/>
      <c r="G387" s="19" t="n"/>
      <c r="H387">
        <f>IF(A387="","",IF(G387&lt;&gt;"","Paid",IF(TODAY()&gt;E387,"OVERDUE","Awaiting payment")))</f>
        <v/>
      </c>
      <c r="I387">
        <f>IF(H387="OVERDUE",TODAY()-E387,"")</f>
        <v/>
      </c>
    </row>
    <row r="388">
      <c r="A388" s="4" t="n"/>
      <c r="B388" s="4" t="n"/>
      <c r="C388" s="19" t="n"/>
      <c r="D388" s="4" t="n"/>
      <c r="E388" s="9">
        <f>IF(OR(C388="",D388=""),"",C388+D388)</f>
        <v/>
      </c>
      <c r="F388" s="12" t="n"/>
      <c r="G388" s="19" t="n"/>
      <c r="H388">
        <f>IF(A388="","",IF(G388&lt;&gt;"","Paid",IF(TODAY()&gt;E388,"OVERDUE","Awaiting payment")))</f>
        <v/>
      </c>
      <c r="I388">
        <f>IF(H388="OVERDUE",TODAY()-E388,"")</f>
        <v/>
      </c>
    </row>
    <row r="389">
      <c r="A389" s="4" t="n"/>
      <c r="B389" s="4" t="n"/>
      <c r="C389" s="19" t="n"/>
      <c r="D389" s="4" t="n"/>
      <c r="E389" s="9">
        <f>IF(OR(C389="",D389=""),"",C389+D389)</f>
        <v/>
      </c>
      <c r="F389" s="12" t="n"/>
      <c r="G389" s="19" t="n"/>
      <c r="H389">
        <f>IF(A389="","",IF(G389&lt;&gt;"","Paid",IF(TODAY()&gt;E389,"OVERDUE","Awaiting payment")))</f>
        <v/>
      </c>
      <c r="I389">
        <f>IF(H389="OVERDUE",TODAY()-E389,"")</f>
        <v/>
      </c>
    </row>
    <row r="390">
      <c r="A390" s="4" t="n"/>
      <c r="B390" s="4" t="n"/>
      <c r="C390" s="19" t="n"/>
      <c r="D390" s="4" t="n"/>
      <c r="E390" s="9">
        <f>IF(OR(C390="",D390=""),"",C390+D390)</f>
        <v/>
      </c>
      <c r="F390" s="12" t="n"/>
      <c r="G390" s="19" t="n"/>
      <c r="H390">
        <f>IF(A390="","",IF(G390&lt;&gt;"","Paid",IF(TODAY()&gt;E390,"OVERDUE","Awaiting payment")))</f>
        <v/>
      </c>
      <c r="I390">
        <f>IF(H390="OVERDUE",TODAY()-E390,"")</f>
        <v/>
      </c>
    </row>
    <row r="391">
      <c r="A391" s="4" t="n"/>
      <c r="B391" s="4" t="n"/>
      <c r="C391" s="19" t="n"/>
      <c r="D391" s="4" t="n"/>
      <c r="E391" s="9">
        <f>IF(OR(C391="",D391=""),"",C391+D391)</f>
        <v/>
      </c>
      <c r="F391" s="12" t="n"/>
      <c r="G391" s="19" t="n"/>
      <c r="H391">
        <f>IF(A391="","",IF(G391&lt;&gt;"","Paid",IF(TODAY()&gt;E391,"OVERDUE","Awaiting payment")))</f>
        <v/>
      </c>
      <c r="I391">
        <f>IF(H391="OVERDUE",TODAY()-E391,"")</f>
        <v/>
      </c>
    </row>
    <row r="392">
      <c r="A392" s="4" t="n"/>
      <c r="B392" s="4" t="n"/>
      <c r="C392" s="19" t="n"/>
      <c r="D392" s="4" t="n"/>
      <c r="E392" s="9">
        <f>IF(OR(C392="",D392=""),"",C392+D392)</f>
        <v/>
      </c>
      <c r="F392" s="12" t="n"/>
      <c r="G392" s="19" t="n"/>
      <c r="H392">
        <f>IF(A392="","",IF(G392&lt;&gt;"","Paid",IF(TODAY()&gt;E392,"OVERDUE","Awaiting payment")))</f>
        <v/>
      </c>
      <c r="I392">
        <f>IF(H392="OVERDUE",TODAY()-E392,"")</f>
        <v/>
      </c>
    </row>
    <row r="393">
      <c r="A393" s="4" t="n"/>
      <c r="B393" s="4" t="n"/>
      <c r="C393" s="19" t="n"/>
      <c r="D393" s="4" t="n"/>
      <c r="E393" s="9">
        <f>IF(OR(C393="",D393=""),"",C393+D393)</f>
        <v/>
      </c>
      <c r="F393" s="12" t="n"/>
      <c r="G393" s="19" t="n"/>
      <c r="H393">
        <f>IF(A393="","",IF(G393&lt;&gt;"","Paid",IF(TODAY()&gt;E393,"OVERDUE","Awaiting payment")))</f>
        <v/>
      </c>
      <c r="I393">
        <f>IF(H393="OVERDUE",TODAY()-E393,"")</f>
        <v/>
      </c>
    </row>
    <row r="394">
      <c r="A394" s="4" t="n"/>
      <c r="B394" s="4" t="n"/>
      <c r="C394" s="19" t="n"/>
      <c r="D394" s="4" t="n"/>
      <c r="E394" s="9">
        <f>IF(OR(C394="",D394=""),"",C394+D394)</f>
        <v/>
      </c>
      <c r="F394" s="12" t="n"/>
      <c r="G394" s="19" t="n"/>
      <c r="H394">
        <f>IF(A394="","",IF(G394&lt;&gt;"","Paid",IF(TODAY()&gt;E394,"OVERDUE","Awaiting payment")))</f>
        <v/>
      </c>
      <c r="I394">
        <f>IF(H394="OVERDUE",TODAY()-E394,"")</f>
        <v/>
      </c>
    </row>
    <row r="395">
      <c r="A395" s="4" t="n"/>
      <c r="B395" s="4" t="n"/>
      <c r="C395" s="19" t="n"/>
      <c r="D395" s="4" t="n"/>
      <c r="E395" s="9">
        <f>IF(OR(C395="",D395=""),"",C395+D395)</f>
        <v/>
      </c>
      <c r="F395" s="12" t="n"/>
      <c r="G395" s="19" t="n"/>
      <c r="H395">
        <f>IF(A395="","",IF(G395&lt;&gt;"","Paid",IF(TODAY()&gt;E395,"OVERDUE","Awaiting payment")))</f>
        <v/>
      </c>
      <c r="I395">
        <f>IF(H395="OVERDUE",TODAY()-E395,"")</f>
        <v/>
      </c>
    </row>
    <row r="396">
      <c r="A396" s="4" t="n"/>
      <c r="B396" s="4" t="n"/>
      <c r="C396" s="19" t="n"/>
      <c r="D396" s="4" t="n"/>
      <c r="E396" s="9">
        <f>IF(OR(C396="",D396=""),"",C396+D396)</f>
        <v/>
      </c>
      <c r="F396" s="12" t="n"/>
      <c r="G396" s="19" t="n"/>
      <c r="H396">
        <f>IF(A396="","",IF(G396&lt;&gt;"","Paid",IF(TODAY()&gt;E396,"OVERDUE","Awaiting payment")))</f>
        <v/>
      </c>
      <c r="I396">
        <f>IF(H396="OVERDUE",TODAY()-E396,"")</f>
        <v/>
      </c>
    </row>
    <row r="397">
      <c r="A397" s="4" t="n"/>
      <c r="B397" s="4" t="n"/>
      <c r="C397" s="19" t="n"/>
      <c r="D397" s="4" t="n"/>
      <c r="E397" s="9">
        <f>IF(OR(C397="",D397=""),"",C397+D397)</f>
        <v/>
      </c>
      <c r="F397" s="12" t="n"/>
      <c r="G397" s="19" t="n"/>
      <c r="H397">
        <f>IF(A397="","",IF(G397&lt;&gt;"","Paid",IF(TODAY()&gt;E397,"OVERDUE","Awaiting payment")))</f>
        <v/>
      </c>
      <c r="I397">
        <f>IF(H397="OVERDUE",TODAY()-E397,"")</f>
        <v/>
      </c>
    </row>
    <row r="398">
      <c r="A398" s="4" t="n"/>
      <c r="B398" s="4" t="n"/>
      <c r="C398" s="19" t="n"/>
      <c r="D398" s="4" t="n"/>
      <c r="E398" s="9">
        <f>IF(OR(C398="",D398=""),"",C398+D398)</f>
        <v/>
      </c>
      <c r="F398" s="12" t="n"/>
      <c r="G398" s="19" t="n"/>
      <c r="H398">
        <f>IF(A398="","",IF(G398&lt;&gt;"","Paid",IF(TODAY()&gt;E398,"OVERDUE","Awaiting payment")))</f>
        <v/>
      </c>
      <c r="I398">
        <f>IF(H398="OVERDUE",TODAY()-E398,"")</f>
        <v/>
      </c>
    </row>
    <row r="399">
      <c r="A399" s="4" t="n"/>
      <c r="B399" s="4" t="n"/>
      <c r="C399" s="19" t="n"/>
      <c r="D399" s="4" t="n"/>
      <c r="E399" s="9">
        <f>IF(OR(C399="",D399=""),"",C399+D399)</f>
        <v/>
      </c>
      <c r="F399" s="12" t="n"/>
      <c r="G399" s="19" t="n"/>
      <c r="H399">
        <f>IF(A399="","",IF(G399&lt;&gt;"","Paid",IF(TODAY()&gt;E399,"OVERDUE","Awaiting payment")))</f>
        <v/>
      </c>
      <c r="I399">
        <f>IF(H399="OVERDUE",TODAY()-E399,"")</f>
        <v/>
      </c>
    </row>
    <row r="400">
      <c r="A400" s="4" t="n"/>
      <c r="B400" s="4" t="n"/>
      <c r="C400" s="19" t="n"/>
      <c r="D400" s="4" t="n"/>
      <c r="E400" s="9">
        <f>IF(OR(C400="",D400=""),"",C400+D400)</f>
        <v/>
      </c>
      <c r="F400" s="12" t="n"/>
      <c r="G400" s="19" t="n"/>
      <c r="H400">
        <f>IF(A400="","",IF(G400&lt;&gt;"","Paid",IF(TODAY()&gt;E400,"OVERDUE","Awaiting payment")))</f>
        <v/>
      </c>
      <c r="I400">
        <f>IF(H400="OVERDUE",TODAY()-E400,"")</f>
        <v/>
      </c>
    </row>
    <row r="401">
      <c r="A401" s="4" t="n"/>
      <c r="B401" s="4" t="n"/>
      <c r="C401" s="19" t="n"/>
      <c r="D401" s="4" t="n"/>
      <c r="E401" s="9">
        <f>IF(OR(C401="",D401=""),"",C401+D401)</f>
        <v/>
      </c>
      <c r="F401" s="12" t="n"/>
      <c r="G401" s="19" t="n"/>
      <c r="H401">
        <f>IF(A401="","",IF(G401&lt;&gt;"","Paid",IF(TODAY()&gt;E401,"OVERDUE","Awaiting payment")))</f>
        <v/>
      </c>
      <c r="I401">
        <f>IF(H401="OVERDUE",TODAY()-E401,"")</f>
        <v/>
      </c>
    </row>
    <row r="402">
      <c r="A402" s="4" t="n"/>
      <c r="B402" s="4" t="n"/>
      <c r="C402" s="19" t="n"/>
      <c r="D402" s="4" t="n"/>
      <c r="E402" s="9">
        <f>IF(OR(C402="",D402=""),"",C402+D402)</f>
        <v/>
      </c>
      <c r="F402" s="12" t="n"/>
      <c r="G402" s="19" t="n"/>
      <c r="H402">
        <f>IF(A402="","",IF(G402&lt;&gt;"","Paid",IF(TODAY()&gt;E402,"OVERDUE","Awaiting payment")))</f>
        <v/>
      </c>
      <c r="I402">
        <f>IF(H402="OVERDUE",TODAY()-E402,"")</f>
        <v/>
      </c>
    </row>
    <row r="403">
      <c r="A403" s="4" t="n"/>
      <c r="B403" s="4" t="n"/>
      <c r="C403" s="19" t="n"/>
      <c r="D403" s="4" t="n"/>
      <c r="E403" s="9">
        <f>IF(OR(C403="",D403=""),"",C403+D403)</f>
        <v/>
      </c>
      <c r="F403" s="12" t="n"/>
      <c r="G403" s="19" t="n"/>
      <c r="H403">
        <f>IF(A403="","",IF(G403&lt;&gt;"","Paid",IF(TODAY()&gt;E403,"OVERDUE","Awaiting payment")))</f>
        <v/>
      </c>
      <c r="I403">
        <f>IF(H403="OVERDUE",TODAY()-E403,"")</f>
        <v/>
      </c>
    </row>
    <row r="404">
      <c r="A404" s="4" t="n"/>
      <c r="B404" s="4" t="n"/>
      <c r="C404" s="19" t="n"/>
      <c r="D404" s="4" t="n"/>
      <c r="E404" s="9">
        <f>IF(OR(C404="",D404=""),"",C404+D404)</f>
        <v/>
      </c>
      <c r="F404" s="12" t="n"/>
      <c r="G404" s="19" t="n"/>
      <c r="H404">
        <f>IF(A404="","",IF(G404&lt;&gt;"","Paid",IF(TODAY()&gt;E404,"OVERDUE","Awaiting payment")))</f>
        <v/>
      </c>
      <c r="I404">
        <f>IF(H404="OVERDUE",TODAY()-E404,"")</f>
        <v/>
      </c>
    </row>
    <row r="405">
      <c r="A405" s="4" t="n"/>
      <c r="B405" s="4" t="n"/>
      <c r="C405" s="19" t="n"/>
      <c r="D405" s="4" t="n"/>
      <c r="E405" s="9">
        <f>IF(OR(C405="",D405=""),"",C405+D405)</f>
        <v/>
      </c>
      <c r="F405" s="12" t="n"/>
      <c r="G405" s="19" t="n"/>
      <c r="H405">
        <f>IF(A405="","",IF(G405&lt;&gt;"","Paid",IF(TODAY()&gt;E405,"OVERDUE","Awaiting payment")))</f>
        <v/>
      </c>
      <c r="I405">
        <f>IF(H405="OVERDUE",TODAY()-E405,"")</f>
        <v/>
      </c>
    </row>
    <row r="406">
      <c r="A406" s="4" t="n"/>
      <c r="B406" s="4" t="n"/>
      <c r="C406" s="19" t="n"/>
      <c r="D406" s="4" t="n"/>
      <c r="E406" s="9">
        <f>IF(OR(C406="",D406=""),"",C406+D406)</f>
        <v/>
      </c>
      <c r="F406" s="12" t="n"/>
      <c r="G406" s="19" t="n"/>
      <c r="H406">
        <f>IF(A406="","",IF(G406&lt;&gt;"","Paid",IF(TODAY()&gt;E406,"OVERDUE","Awaiting payment")))</f>
        <v/>
      </c>
      <c r="I406">
        <f>IF(H406="OVERDUE",TODAY()-E406,"")</f>
        <v/>
      </c>
    </row>
    <row r="407">
      <c r="A407" s="4" t="n"/>
      <c r="B407" s="4" t="n"/>
      <c r="C407" s="19" t="n"/>
      <c r="D407" s="4" t="n"/>
      <c r="E407" s="9">
        <f>IF(OR(C407="",D407=""),"",C407+D407)</f>
        <v/>
      </c>
      <c r="F407" s="12" t="n"/>
      <c r="G407" s="19" t="n"/>
      <c r="H407">
        <f>IF(A407="","",IF(G407&lt;&gt;"","Paid",IF(TODAY()&gt;E407,"OVERDUE","Awaiting payment")))</f>
        <v/>
      </c>
      <c r="I407">
        <f>IF(H407="OVERDUE",TODAY()-E407,"")</f>
        <v/>
      </c>
    </row>
    <row r="408">
      <c r="A408" s="4" t="n"/>
      <c r="B408" s="4" t="n"/>
      <c r="C408" s="19" t="n"/>
      <c r="D408" s="4" t="n"/>
      <c r="E408" s="9">
        <f>IF(OR(C408="",D408=""),"",C408+D408)</f>
        <v/>
      </c>
      <c r="F408" s="12" t="n"/>
      <c r="G408" s="19" t="n"/>
      <c r="H408">
        <f>IF(A408="","",IF(G408&lt;&gt;"","Paid",IF(TODAY()&gt;E408,"OVERDUE","Awaiting payment")))</f>
        <v/>
      </c>
      <c r="I408">
        <f>IF(H408="OVERDUE",TODAY()-E408,"")</f>
        <v/>
      </c>
    </row>
    <row r="409">
      <c r="A409" s="4" t="n"/>
      <c r="B409" s="4" t="n"/>
      <c r="C409" s="19" t="n"/>
      <c r="D409" s="4" t="n"/>
      <c r="E409" s="9">
        <f>IF(OR(C409="",D409=""),"",C409+D409)</f>
        <v/>
      </c>
      <c r="F409" s="12" t="n"/>
      <c r="G409" s="19" t="n"/>
      <c r="H409">
        <f>IF(A409="","",IF(G409&lt;&gt;"","Paid",IF(TODAY()&gt;E409,"OVERDUE","Awaiting payment")))</f>
        <v/>
      </c>
      <c r="I409">
        <f>IF(H409="OVERDUE",TODAY()-E409,"")</f>
        <v/>
      </c>
    </row>
    <row r="410">
      <c r="A410" s="4" t="n"/>
      <c r="B410" s="4" t="n"/>
      <c r="C410" s="19" t="n"/>
      <c r="D410" s="4" t="n"/>
      <c r="E410" s="9">
        <f>IF(OR(C410="",D410=""),"",C410+D410)</f>
        <v/>
      </c>
      <c r="F410" s="12" t="n"/>
      <c r="G410" s="19" t="n"/>
      <c r="H410">
        <f>IF(A410="","",IF(G410&lt;&gt;"","Paid",IF(TODAY()&gt;E410,"OVERDUE","Awaiting payment")))</f>
        <v/>
      </c>
      <c r="I410">
        <f>IF(H410="OVERDUE",TODAY()-E410,"")</f>
        <v/>
      </c>
    </row>
    <row r="411">
      <c r="A411" s="4" t="n"/>
      <c r="B411" s="4" t="n"/>
      <c r="C411" s="19" t="n"/>
      <c r="D411" s="4" t="n"/>
      <c r="E411" s="9">
        <f>IF(OR(C411="",D411=""),"",C411+D411)</f>
        <v/>
      </c>
      <c r="F411" s="12" t="n"/>
      <c r="G411" s="19" t="n"/>
      <c r="H411">
        <f>IF(A411="","",IF(G411&lt;&gt;"","Paid",IF(TODAY()&gt;E411,"OVERDUE","Awaiting payment")))</f>
        <v/>
      </c>
      <c r="I411">
        <f>IF(H411="OVERDUE",TODAY()-E411,"")</f>
        <v/>
      </c>
    </row>
    <row r="412">
      <c r="A412" s="4" t="n"/>
      <c r="B412" s="4" t="n"/>
      <c r="C412" s="19" t="n"/>
      <c r="D412" s="4" t="n"/>
      <c r="E412" s="9">
        <f>IF(OR(C412="",D412=""),"",C412+D412)</f>
        <v/>
      </c>
      <c r="F412" s="12" t="n"/>
      <c r="G412" s="19" t="n"/>
      <c r="H412">
        <f>IF(A412="","",IF(G412&lt;&gt;"","Paid",IF(TODAY()&gt;E412,"OVERDUE","Awaiting payment")))</f>
        <v/>
      </c>
      <c r="I412">
        <f>IF(H412="OVERDUE",TODAY()-E412,"")</f>
        <v/>
      </c>
    </row>
    <row r="413">
      <c r="A413" s="4" t="n"/>
      <c r="B413" s="4" t="n"/>
      <c r="C413" s="19" t="n"/>
      <c r="D413" s="4" t="n"/>
      <c r="E413" s="9">
        <f>IF(OR(C413="",D413=""),"",C413+D413)</f>
        <v/>
      </c>
      <c r="F413" s="12" t="n"/>
      <c r="G413" s="19" t="n"/>
      <c r="H413">
        <f>IF(A413="","",IF(G413&lt;&gt;"","Paid",IF(TODAY()&gt;E413,"OVERDUE","Awaiting payment")))</f>
        <v/>
      </c>
      <c r="I413">
        <f>IF(H413="OVERDUE",TODAY()-E413,"")</f>
        <v/>
      </c>
    </row>
    <row r="414">
      <c r="A414" s="4" t="n"/>
      <c r="B414" s="4" t="n"/>
      <c r="C414" s="19" t="n"/>
      <c r="D414" s="4" t="n"/>
      <c r="E414" s="9">
        <f>IF(OR(C414="",D414=""),"",C414+D414)</f>
        <v/>
      </c>
      <c r="F414" s="12" t="n"/>
      <c r="G414" s="19" t="n"/>
      <c r="H414">
        <f>IF(A414="","",IF(G414&lt;&gt;"","Paid",IF(TODAY()&gt;E414,"OVERDUE","Awaiting payment")))</f>
        <v/>
      </c>
      <c r="I414">
        <f>IF(H414="OVERDUE",TODAY()-E414,"")</f>
        <v/>
      </c>
    </row>
    <row r="415">
      <c r="A415" s="4" t="n"/>
      <c r="B415" s="4" t="n"/>
      <c r="C415" s="19" t="n"/>
      <c r="D415" s="4" t="n"/>
      <c r="E415" s="9">
        <f>IF(OR(C415="",D415=""),"",C415+D415)</f>
        <v/>
      </c>
      <c r="F415" s="12" t="n"/>
      <c r="G415" s="19" t="n"/>
      <c r="H415">
        <f>IF(A415="","",IF(G415&lt;&gt;"","Paid",IF(TODAY()&gt;E415,"OVERDUE","Awaiting payment")))</f>
        <v/>
      </c>
      <c r="I415">
        <f>IF(H415="OVERDUE",TODAY()-E415,"")</f>
        <v/>
      </c>
    </row>
    <row r="416">
      <c r="A416" s="4" t="n"/>
      <c r="B416" s="4" t="n"/>
      <c r="C416" s="19" t="n"/>
      <c r="D416" s="4" t="n"/>
      <c r="E416" s="9">
        <f>IF(OR(C416="",D416=""),"",C416+D416)</f>
        <v/>
      </c>
      <c r="F416" s="12" t="n"/>
      <c r="G416" s="19" t="n"/>
      <c r="H416">
        <f>IF(A416="","",IF(G416&lt;&gt;"","Paid",IF(TODAY()&gt;E416,"OVERDUE","Awaiting payment")))</f>
        <v/>
      </c>
      <c r="I416">
        <f>IF(H416="OVERDUE",TODAY()-E416,"")</f>
        <v/>
      </c>
    </row>
    <row r="417">
      <c r="A417" s="4" t="n"/>
      <c r="B417" s="4" t="n"/>
      <c r="C417" s="19" t="n"/>
      <c r="D417" s="4" t="n"/>
      <c r="E417" s="9">
        <f>IF(OR(C417="",D417=""),"",C417+D417)</f>
        <v/>
      </c>
      <c r="F417" s="12" t="n"/>
      <c r="G417" s="19" t="n"/>
      <c r="H417">
        <f>IF(A417="","",IF(G417&lt;&gt;"","Paid",IF(TODAY()&gt;E417,"OVERDUE","Awaiting payment")))</f>
        <v/>
      </c>
      <c r="I417">
        <f>IF(H417="OVERDUE",TODAY()-E417,"")</f>
        <v/>
      </c>
    </row>
    <row r="418">
      <c r="A418" s="4" t="n"/>
      <c r="B418" s="4" t="n"/>
      <c r="C418" s="19" t="n"/>
      <c r="D418" s="4" t="n"/>
      <c r="E418" s="9">
        <f>IF(OR(C418="",D418=""),"",C418+D418)</f>
        <v/>
      </c>
      <c r="F418" s="12" t="n"/>
      <c r="G418" s="19" t="n"/>
      <c r="H418">
        <f>IF(A418="","",IF(G418&lt;&gt;"","Paid",IF(TODAY()&gt;E418,"OVERDUE","Awaiting payment")))</f>
        <v/>
      </c>
      <c r="I418">
        <f>IF(H418="OVERDUE",TODAY()-E418,"")</f>
        <v/>
      </c>
    </row>
    <row r="419">
      <c r="A419" s="4" t="n"/>
      <c r="B419" s="4" t="n"/>
      <c r="C419" s="19" t="n"/>
      <c r="D419" s="4" t="n"/>
      <c r="E419" s="9">
        <f>IF(OR(C419="",D419=""),"",C419+D419)</f>
        <v/>
      </c>
      <c r="F419" s="12" t="n"/>
      <c r="G419" s="19" t="n"/>
      <c r="H419">
        <f>IF(A419="","",IF(G419&lt;&gt;"","Paid",IF(TODAY()&gt;E419,"OVERDUE","Awaiting payment")))</f>
        <v/>
      </c>
      <c r="I419">
        <f>IF(H419="OVERDUE",TODAY()-E419,"")</f>
        <v/>
      </c>
    </row>
    <row r="420">
      <c r="A420" s="4" t="n"/>
      <c r="B420" s="4" t="n"/>
      <c r="C420" s="19" t="n"/>
      <c r="D420" s="4" t="n"/>
      <c r="E420" s="9">
        <f>IF(OR(C420="",D420=""),"",C420+D420)</f>
        <v/>
      </c>
      <c r="F420" s="12" t="n"/>
      <c r="G420" s="19" t="n"/>
      <c r="H420">
        <f>IF(A420="","",IF(G420&lt;&gt;"","Paid",IF(TODAY()&gt;E420,"OVERDUE","Awaiting payment")))</f>
        <v/>
      </c>
      <c r="I420">
        <f>IF(H420="OVERDUE",TODAY()-E420,"")</f>
        <v/>
      </c>
    </row>
    <row r="421">
      <c r="A421" s="4" t="n"/>
      <c r="B421" s="4" t="n"/>
      <c r="C421" s="19" t="n"/>
      <c r="D421" s="4" t="n"/>
      <c r="E421" s="9">
        <f>IF(OR(C421="",D421=""),"",C421+D421)</f>
        <v/>
      </c>
      <c r="F421" s="12" t="n"/>
      <c r="G421" s="19" t="n"/>
      <c r="H421">
        <f>IF(A421="","",IF(G421&lt;&gt;"","Paid",IF(TODAY()&gt;E421,"OVERDUE","Awaiting payment")))</f>
        <v/>
      </c>
      <c r="I421">
        <f>IF(H421="OVERDUE",TODAY()-E421,"")</f>
        <v/>
      </c>
    </row>
    <row r="422">
      <c r="A422" s="4" t="n"/>
      <c r="B422" s="4" t="n"/>
      <c r="C422" s="19" t="n"/>
      <c r="D422" s="4" t="n"/>
      <c r="E422" s="9">
        <f>IF(OR(C422="",D422=""),"",C422+D422)</f>
        <v/>
      </c>
      <c r="F422" s="12" t="n"/>
      <c r="G422" s="19" t="n"/>
      <c r="H422">
        <f>IF(A422="","",IF(G422&lt;&gt;"","Paid",IF(TODAY()&gt;E422,"OVERDUE","Awaiting payment")))</f>
        <v/>
      </c>
      <c r="I422">
        <f>IF(H422="OVERDUE",TODAY()-E422,"")</f>
        <v/>
      </c>
    </row>
    <row r="423">
      <c r="A423" s="4" t="n"/>
      <c r="B423" s="4" t="n"/>
      <c r="C423" s="19" t="n"/>
      <c r="D423" s="4" t="n"/>
      <c r="E423" s="9">
        <f>IF(OR(C423="",D423=""),"",C423+D423)</f>
        <v/>
      </c>
      <c r="F423" s="12" t="n"/>
      <c r="G423" s="19" t="n"/>
      <c r="H423">
        <f>IF(A423="","",IF(G423&lt;&gt;"","Paid",IF(TODAY()&gt;E423,"OVERDUE","Awaiting payment")))</f>
        <v/>
      </c>
      <c r="I423">
        <f>IF(H423="OVERDUE",TODAY()-E423,"")</f>
        <v/>
      </c>
    </row>
    <row r="424">
      <c r="A424" s="4" t="n"/>
      <c r="B424" s="4" t="n"/>
      <c r="C424" s="19" t="n"/>
      <c r="D424" s="4" t="n"/>
      <c r="E424" s="9">
        <f>IF(OR(C424="",D424=""),"",C424+D424)</f>
        <v/>
      </c>
      <c r="F424" s="12" t="n"/>
      <c r="G424" s="19" t="n"/>
      <c r="H424">
        <f>IF(A424="","",IF(G424&lt;&gt;"","Paid",IF(TODAY()&gt;E424,"OVERDUE","Awaiting payment")))</f>
        <v/>
      </c>
      <c r="I424">
        <f>IF(H424="OVERDUE",TODAY()-E424,"")</f>
        <v/>
      </c>
    </row>
    <row r="425">
      <c r="A425" s="4" t="n"/>
      <c r="B425" s="4" t="n"/>
      <c r="C425" s="19" t="n"/>
      <c r="D425" s="4" t="n"/>
      <c r="E425" s="9">
        <f>IF(OR(C425="",D425=""),"",C425+D425)</f>
        <v/>
      </c>
      <c r="F425" s="12" t="n"/>
      <c r="G425" s="19" t="n"/>
      <c r="H425">
        <f>IF(A425="","",IF(G425&lt;&gt;"","Paid",IF(TODAY()&gt;E425,"OVERDUE","Awaiting payment")))</f>
        <v/>
      </c>
      <c r="I425">
        <f>IF(H425="OVERDUE",TODAY()-E425,"")</f>
        <v/>
      </c>
    </row>
    <row r="426">
      <c r="A426" s="4" t="n"/>
      <c r="B426" s="4" t="n"/>
      <c r="C426" s="19" t="n"/>
      <c r="D426" s="4" t="n"/>
      <c r="E426" s="9">
        <f>IF(OR(C426="",D426=""),"",C426+D426)</f>
        <v/>
      </c>
      <c r="F426" s="12" t="n"/>
      <c r="G426" s="19" t="n"/>
      <c r="H426">
        <f>IF(A426="","",IF(G426&lt;&gt;"","Paid",IF(TODAY()&gt;E426,"OVERDUE","Awaiting payment")))</f>
        <v/>
      </c>
      <c r="I426">
        <f>IF(H426="OVERDUE",TODAY()-E426,"")</f>
        <v/>
      </c>
    </row>
    <row r="427">
      <c r="A427" s="4" t="n"/>
      <c r="B427" s="4" t="n"/>
      <c r="C427" s="19" t="n"/>
      <c r="D427" s="4" t="n"/>
      <c r="E427" s="9">
        <f>IF(OR(C427="",D427=""),"",C427+D427)</f>
        <v/>
      </c>
      <c r="F427" s="12" t="n"/>
      <c r="G427" s="19" t="n"/>
      <c r="H427">
        <f>IF(A427="","",IF(G427&lt;&gt;"","Paid",IF(TODAY()&gt;E427,"OVERDUE","Awaiting payment")))</f>
        <v/>
      </c>
      <c r="I427">
        <f>IF(H427="OVERDUE",TODAY()-E427,"")</f>
        <v/>
      </c>
    </row>
    <row r="428">
      <c r="A428" s="4" t="n"/>
      <c r="B428" s="4" t="n"/>
      <c r="C428" s="19" t="n"/>
      <c r="D428" s="4" t="n"/>
      <c r="E428" s="9">
        <f>IF(OR(C428="",D428=""),"",C428+D428)</f>
        <v/>
      </c>
      <c r="F428" s="12" t="n"/>
      <c r="G428" s="19" t="n"/>
      <c r="H428">
        <f>IF(A428="","",IF(G428&lt;&gt;"","Paid",IF(TODAY()&gt;E428,"OVERDUE","Awaiting payment")))</f>
        <v/>
      </c>
      <c r="I428">
        <f>IF(H428="OVERDUE",TODAY()-E428,"")</f>
        <v/>
      </c>
    </row>
    <row r="429">
      <c r="A429" s="4" t="n"/>
      <c r="B429" s="4" t="n"/>
      <c r="C429" s="19" t="n"/>
      <c r="D429" s="4" t="n"/>
      <c r="E429" s="9">
        <f>IF(OR(C429="",D429=""),"",C429+D429)</f>
        <v/>
      </c>
      <c r="F429" s="12" t="n"/>
      <c r="G429" s="19" t="n"/>
      <c r="H429">
        <f>IF(A429="","",IF(G429&lt;&gt;"","Paid",IF(TODAY()&gt;E429,"OVERDUE","Awaiting payment")))</f>
        <v/>
      </c>
      <c r="I429">
        <f>IF(H429="OVERDUE",TODAY()-E429,"")</f>
        <v/>
      </c>
    </row>
    <row r="430">
      <c r="A430" s="4" t="n"/>
      <c r="B430" s="4" t="n"/>
      <c r="C430" s="19" t="n"/>
      <c r="D430" s="4" t="n"/>
      <c r="E430" s="9">
        <f>IF(OR(C430="",D430=""),"",C430+D430)</f>
        <v/>
      </c>
      <c r="F430" s="12" t="n"/>
      <c r="G430" s="19" t="n"/>
      <c r="H430">
        <f>IF(A430="","",IF(G430&lt;&gt;"","Paid",IF(TODAY()&gt;E430,"OVERDUE","Awaiting payment")))</f>
        <v/>
      </c>
      <c r="I430">
        <f>IF(H430="OVERDUE",TODAY()-E430,"")</f>
        <v/>
      </c>
    </row>
    <row r="431">
      <c r="A431" s="4" t="n"/>
      <c r="B431" s="4" t="n"/>
      <c r="C431" s="19" t="n"/>
      <c r="D431" s="4" t="n"/>
      <c r="E431" s="9">
        <f>IF(OR(C431="",D431=""),"",C431+D431)</f>
        <v/>
      </c>
      <c r="F431" s="12" t="n"/>
      <c r="G431" s="19" t="n"/>
      <c r="H431">
        <f>IF(A431="","",IF(G431&lt;&gt;"","Paid",IF(TODAY()&gt;E431,"OVERDUE","Awaiting payment")))</f>
        <v/>
      </c>
      <c r="I431">
        <f>IF(H431="OVERDUE",TODAY()-E431,"")</f>
        <v/>
      </c>
    </row>
    <row r="432">
      <c r="A432" s="4" t="n"/>
      <c r="B432" s="4" t="n"/>
      <c r="C432" s="19" t="n"/>
      <c r="D432" s="4" t="n"/>
      <c r="E432" s="9">
        <f>IF(OR(C432="",D432=""),"",C432+D432)</f>
        <v/>
      </c>
      <c r="F432" s="12" t="n"/>
      <c r="G432" s="19" t="n"/>
      <c r="H432">
        <f>IF(A432="","",IF(G432&lt;&gt;"","Paid",IF(TODAY()&gt;E432,"OVERDUE","Awaiting payment")))</f>
        <v/>
      </c>
      <c r="I432">
        <f>IF(H432="OVERDUE",TODAY()-E432,"")</f>
        <v/>
      </c>
    </row>
    <row r="433">
      <c r="A433" s="4" t="n"/>
      <c r="B433" s="4" t="n"/>
      <c r="C433" s="19" t="n"/>
      <c r="D433" s="4" t="n"/>
      <c r="E433" s="9">
        <f>IF(OR(C433="",D433=""),"",C433+D433)</f>
        <v/>
      </c>
      <c r="F433" s="12" t="n"/>
      <c r="G433" s="19" t="n"/>
      <c r="H433">
        <f>IF(A433="","",IF(G433&lt;&gt;"","Paid",IF(TODAY()&gt;E433,"OVERDUE","Awaiting payment")))</f>
        <v/>
      </c>
      <c r="I433">
        <f>IF(H433="OVERDUE",TODAY()-E433,"")</f>
        <v/>
      </c>
    </row>
    <row r="434">
      <c r="A434" s="4" t="n"/>
      <c r="B434" s="4" t="n"/>
      <c r="C434" s="19" t="n"/>
      <c r="D434" s="4" t="n"/>
      <c r="E434" s="9">
        <f>IF(OR(C434="",D434=""),"",C434+D434)</f>
        <v/>
      </c>
      <c r="F434" s="12" t="n"/>
      <c r="G434" s="19" t="n"/>
      <c r="H434">
        <f>IF(A434="","",IF(G434&lt;&gt;"","Paid",IF(TODAY()&gt;E434,"OVERDUE","Awaiting payment")))</f>
        <v/>
      </c>
      <c r="I434">
        <f>IF(H434="OVERDUE",TODAY()-E434,"")</f>
        <v/>
      </c>
    </row>
    <row r="435">
      <c r="A435" s="4" t="n"/>
      <c r="B435" s="4" t="n"/>
      <c r="C435" s="19" t="n"/>
      <c r="D435" s="4" t="n"/>
      <c r="E435" s="9">
        <f>IF(OR(C435="",D435=""),"",C435+D435)</f>
        <v/>
      </c>
      <c r="F435" s="12" t="n"/>
      <c r="G435" s="19" t="n"/>
      <c r="H435">
        <f>IF(A435="","",IF(G435&lt;&gt;"","Paid",IF(TODAY()&gt;E435,"OVERDUE","Awaiting payment")))</f>
        <v/>
      </c>
      <c r="I435">
        <f>IF(H435="OVERDUE",TODAY()-E435,"")</f>
        <v/>
      </c>
    </row>
    <row r="436">
      <c r="A436" s="4" t="n"/>
      <c r="B436" s="4" t="n"/>
      <c r="C436" s="19" t="n"/>
      <c r="D436" s="4" t="n"/>
      <c r="E436" s="9">
        <f>IF(OR(C436="",D436=""),"",C436+D436)</f>
        <v/>
      </c>
      <c r="F436" s="12" t="n"/>
      <c r="G436" s="19" t="n"/>
      <c r="H436">
        <f>IF(A436="","",IF(G436&lt;&gt;"","Paid",IF(TODAY()&gt;E436,"OVERDUE","Awaiting payment")))</f>
        <v/>
      </c>
      <c r="I436">
        <f>IF(H436="OVERDUE",TODAY()-E436,"")</f>
        <v/>
      </c>
    </row>
    <row r="437">
      <c r="A437" s="4" t="n"/>
      <c r="B437" s="4" t="n"/>
      <c r="C437" s="19" t="n"/>
      <c r="D437" s="4" t="n"/>
      <c r="E437" s="9">
        <f>IF(OR(C437="",D437=""),"",C437+D437)</f>
        <v/>
      </c>
      <c r="F437" s="12" t="n"/>
      <c r="G437" s="19" t="n"/>
      <c r="H437">
        <f>IF(A437="","",IF(G437&lt;&gt;"","Paid",IF(TODAY()&gt;E437,"OVERDUE","Awaiting payment")))</f>
        <v/>
      </c>
      <c r="I437">
        <f>IF(H437="OVERDUE",TODAY()-E437,"")</f>
        <v/>
      </c>
    </row>
    <row r="438">
      <c r="A438" s="4" t="n"/>
      <c r="B438" s="4" t="n"/>
      <c r="C438" s="19" t="n"/>
      <c r="D438" s="4" t="n"/>
      <c r="E438" s="9">
        <f>IF(OR(C438="",D438=""),"",C438+D438)</f>
        <v/>
      </c>
      <c r="F438" s="12" t="n"/>
      <c r="G438" s="19" t="n"/>
      <c r="H438">
        <f>IF(A438="","",IF(G438&lt;&gt;"","Paid",IF(TODAY()&gt;E438,"OVERDUE","Awaiting payment")))</f>
        <v/>
      </c>
      <c r="I438">
        <f>IF(H438="OVERDUE",TODAY()-E438,"")</f>
        <v/>
      </c>
    </row>
    <row r="439">
      <c r="A439" s="4" t="n"/>
      <c r="B439" s="4" t="n"/>
      <c r="C439" s="19" t="n"/>
      <c r="D439" s="4" t="n"/>
      <c r="E439" s="9">
        <f>IF(OR(C439="",D439=""),"",C439+D439)</f>
        <v/>
      </c>
      <c r="F439" s="12" t="n"/>
      <c r="G439" s="19" t="n"/>
      <c r="H439">
        <f>IF(A439="","",IF(G439&lt;&gt;"","Paid",IF(TODAY()&gt;E439,"OVERDUE","Awaiting payment")))</f>
        <v/>
      </c>
      <c r="I439">
        <f>IF(H439="OVERDUE",TODAY()-E439,"")</f>
        <v/>
      </c>
    </row>
    <row r="440">
      <c r="A440" s="4" t="n"/>
      <c r="B440" s="4" t="n"/>
      <c r="C440" s="19" t="n"/>
      <c r="D440" s="4" t="n"/>
      <c r="E440" s="9">
        <f>IF(OR(C440="",D440=""),"",C440+D440)</f>
        <v/>
      </c>
      <c r="F440" s="12" t="n"/>
      <c r="G440" s="19" t="n"/>
      <c r="H440">
        <f>IF(A440="","",IF(G440&lt;&gt;"","Paid",IF(TODAY()&gt;E440,"OVERDUE","Awaiting payment")))</f>
        <v/>
      </c>
      <c r="I440">
        <f>IF(H440="OVERDUE",TODAY()-E440,"")</f>
        <v/>
      </c>
    </row>
    <row r="441">
      <c r="A441" s="4" t="n"/>
      <c r="B441" s="4" t="n"/>
      <c r="C441" s="19" t="n"/>
      <c r="D441" s="4" t="n"/>
      <c r="E441" s="9">
        <f>IF(OR(C441="",D441=""),"",C441+D441)</f>
        <v/>
      </c>
      <c r="F441" s="12" t="n"/>
      <c r="G441" s="19" t="n"/>
      <c r="H441">
        <f>IF(A441="","",IF(G441&lt;&gt;"","Paid",IF(TODAY()&gt;E441,"OVERDUE","Awaiting payment")))</f>
        <v/>
      </c>
      <c r="I441">
        <f>IF(H441="OVERDUE",TODAY()-E441,"")</f>
        <v/>
      </c>
    </row>
    <row r="442">
      <c r="A442" s="4" t="n"/>
      <c r="B442" s="4" t="n"/>
      <c r="C442" s="19" t="n"/>
      <c r="D442" s="4" t="n"/>
      <c r="E442" s="9">
        <f>IF(OR(C442="",D442=""),"",C442+D442)</f>
        <v/>
      </c>
      <c r="F442" s="12" t="n"/>
      <c r="G442" s="19" t="n"/>
      <c r="H442">
        <f>IF(A442="","",IF(G442&lt;&gt;"","Paid",IF(TODAY()&gt;E442,"OVERDUE","Awaiting payment")))</f>
        <v/>
      </c>
      <c r="I442">
        <f>IF(H442="OVERDUE",TODAY()-E442,"")</f>
        <v/>
      </c>
    </row>
    <row r="443">
      <c r="A443" s="4" t="n"/>
      <c r="B443" s="4" t="n"/>
      <c r="C443" s="19" t="n"/>
      <c r="D443" s="4" t="n"/>
      <c r="E443" s="9">
        <f>IF(OR(C443="",D443=""),"",C443+D443)</f>
        <v/>
      </c>
      <c r="F443" s="12" t="n"/>
      <c r="G443" s="19" t="n"/>
      <c r="H443">
        <f>IF(A443="","",IF(G443&lt;&gt;"","Paid",IF(TODAY()&gt;E443,"OVERDUE","Awaiting payment")))</f>
        <v/>
      </c>
      <c r="I443">
        <f>IF(H443="OVERDUE",TODAY()-E443,"")</f>
        <v/>
      </c>
    </row>
    <row r="444">
      <c r="A444" s="4" t="n"/>
      <c r="B444" s="4" t="n"/>
      <c r="C444" s="19" t="n"/>
      <c r="D444" s="4" t="n"/>
      <c r="E444" s="9">
        <f>IF(OR(C444="",D444=""),"",C444+D444)</f>
        <v/>
      </c>
      <c r="F444" s="12" t="n"/>
      <c r="G444" s="19" t="n"/>
      <c r="H444">
        <f>IF(A444="","",IF(G444&lt;&gt;"","Paid",IF(TODAY()&gt;E444,"OVERDUE","Awaiting payment")))</f>
        <v/>
      </c>
      <c r="I444">
        <f>IF(H444="OVERDUE",TODAY()-E444,"")</f>
        <v/>
      </c>
    </row>
    <row r="445">
      <c r="A445" s="4" t="n"/>
      <c r="B445" s="4" t="n"/>
      <c r="C445" s="19" t="n"/>
      <c r="D445" s="4" t="n"/>
      <c r="E445" s="9">
        <f>IF(OR(C445="",D445=""),"",C445+D445)</f>
        <v/>
      </c>
      <c r="F445" s="12" t="n"/>
      <c r="G445" s="19" t="n"/>
      <c r="H445">
        <f>IF(A445="","",IF(G445&lt;&gt;"","Paid",IF(TODAY()&gt;E445,"OVERDUE","Awaiting payment")))</f>
        <v/>
      </c>
      <c r="I445">
        <f>IF(H445="OVERDUE",TODAY()-E445,"")</f>
        <v/>
      </c>
    </row>
    <row r="446">
      <c r="A446" s="4" t="n"/>
      <c r="B446" s="4" t="n"/>
      <c r="C446" s="19" t="n"/>
      <c r="D446" s="4" t="n"/>
      <c r="E446" s="9">
        <f>IF(OR(C446="",D446=""),"",C446+D446)</f>
        <v/>
      </c>
      <c r="F446" s="12" t="n"/>
      <c r="G446" s="19" t="n"/>
      <c r="H446">
        <f>IF(A446="","",IF(G446&lt;&gt;"","Paid",IF(TODAY()&gt;E446,"OVERDUE","Awaiting payment")))</f>
        <v/>
      </c>
      <c r="I446">
        <f>IF(H446="OVERDUE",TODAY()-E446,"")</f>
        <v/>
      </c>
    </row>
    <row r="447">
      <c r="A447" s="4" t="n"/>
      <c r="B447" s="4" t="n"/>
      <c r="C447" s="19" t="n"/>
      <c r="D447" s="4" t="n"/>
      <c r="E447" s="9">
        <f>IF(OR(C447="",D447=""),"",C447+D447)</f>
        <v/>
      </c>
      <c r="F447" s="12" t="n"/>
      <c r="G447" s="19" t="n"/>
      <c r="H447">
        <f>IF(A447="","",IF(G447&lt;&gt;"","Paid",IF(TODAY()&gt;E447,"OVERDUE","Awaiting payment")))</f>
        <v/>
      </c>
      <c r="I447">
        <f>IF(H447="OVERDUE",TODAY()-E447,"")</f>
        <v/>
      </c>
    </row>
    <row r="448">
      <c r="A448" s="4" t="n"/>
      <c r="B448" s="4" t="n"/>
      <c r="C448" s="19" t="n"/>
      <c r="D448" s="4" t="n"/>
      <c r="E448" s="9">
        <f>IF(OR(C448="",D448=""),"",C448+D448)</f>
        <v/>
      </c>
      <c r="F448" s="12" t="n"/>
      <c r="G448" s="19" t="n"/>
      <c r="H448">
        <f>IF(A448="","",IF(G448&lt;&gt;"","Paid",IF(TODAY()&gt;E448,"OVERDUE","Awaiting payment")))</f>
        <v/>
      </c>
      <c r="I448">
        <f>IF(H448="OVERDUE",TODAY()-E448,"")</f>
        <v/>
      </c>
    </row>
    <row r="449">
      <c r="A449" s="4" t="n"/>
      <c r="B449" s="4" t="n"/>
      <c r="C449" s="19" t="n"/>
      <c r="D449" s="4" t="n"/>
      <c r="E449" s="9">
        <f>IF(OR(C449="",D449=""),"",C449+D449)</f>
        <v/>
      </c>
      <c r="F449" s="12" t="n"/>
      <c r="G449" s="19" t="n"/>
      <c r="H449">
        <f>IF(A449="","",IF(G449&lt;&gt;"","Paid",IF(TODAY()&gt;E449,"OVERDUE","Awaiting payment")))</f>
        <v/>
      </c>
      <c r="I449">
        <f>IF(H449="OVERDUE",TODAY()-E449,"")</f>
        <v/>
      </c>
    </row>
    <row r="450">
      <c r="A450" s="4" t="n"/>
      <c r="B450" s="4" t="n"/>
      <c r="C450" s="19" t="n"/>
      <c r="D450" s="4" t="n"/>
      <c r="E450" s="9">
        <f>IF(OR(C450="",D450=""),"",C450+D450)</f>
        <v/>
      </c>
      <c r="F450" s="12" t="n"/>
      <c r="G450" s="19" t="n"/>
      <c r="H450">
        <f>IF(A450="","",IF(G450&lt;&gt;"","Paid",IF(TODAY()&gt;E450,"OVERDUE","Awaiting payment")))</f>
        <v/>
      </c>
      <c r="I450">
        <f>IF(H450="OVERDUE",TODAY()-E450,"")</f>
        <v/>
      </c>
    </row>
    <row r="451">
      <c r="A451" s="4" t="n"/>
      <c r="B451" s="4" t="n"/>
      <c r="C451" s="19" t="n"/>
      <c r="D451" s="4" t="n"/>
      <c r="E451" s="9">
        <f>IF(OR(C451="",D451=""),"",C451+D451)</f>
        <v/>
      </c>
      <c r="F451" s="12" t="n"/>
      <c r="G451" s="19" t="n"/>
      <c r="H451">
        <f>IF(A451="","",IF(G451&lt;&gt;"","Paid",IF(TODAY()&gt;E451,"OVERDUE","Awaiting payment")))</f>
        <v/>
      </c>
      <c r="I451">
        <f>IF(H451="OVERDUE",TODAY()-E451,"")</f>
        <v/>
      </c>
    </row>
    <row r="452">
      <c r="A452" s="4" t="n"/>
      <c r="B452" s="4" t="n"/>
      <c r="C452" s="19" t="n"/>
      <c r="D452" s="4" t="n"/>
      <c r="E452" s="9">
        <f>IF(OR(C452="",D452=""),"",C452+D452)</f>
        <v/>
      </c>
      <c r="F452" s="12" t="n"/>
      <c r="G452" s="19" t="n"/>
      <c r="H452">
        <f>IF(A452="","",IF(G452&lt;&gt;"","Paid",IF(TODAY()&gt;E452,"OVERDUE","Awaiting payment")))</f>
        <v/>
      </c>
      <c r="I452">
        <f>IF(H452="OVERDUE",TODAY()-E452,"")</f>
        <v/>
      </c>
    </row>
    <row r="453">
      <c r="A453" s="4" t="n"/>
      <c r="B453" s="4" t="n"/>
      <c r="C453" s="19" t="n"/>
      <c r="D453" s="4" t="n"/>
      <c r="E453" s="9">
        <f>IF(OR(C453="",D453=""),"",C453+D453)</f>
        <v/>
      </c>
      <c r="F453" s="12" t="n"/>
      <c r="G453" s="19" t="n"/>
      <c r="H453">
        <f>IF(A453="","",IF(G453&lt;&gt;"","Paid",IF(TODAY()&gt;E453,"OVERDUE","Awaiting payment")))</f>
        <v/>
      </c>
      <c r="I453">
        <f>IF(H453="OVERDUE",TODAY()-E453,"")</f>
        <v/>
      </c>
    </row>
    <row r="454">
      <c r="A454" s="4" t="n"/>
      <c r="B454" s="4" t="n"/>
      <c r="C454" s="19" t="n"/>
      <c r="D454" s="4" t="n"/>
      <c r="E454" s="9">
        <f>IF(OR(C454="",D454=""),"",C454+D454)</f>
        <v/>
      </c>
      <c r="F454" s="12" t="n"/>
      <c r="G454" s="19" t="n"/>
      <c r="H454">
        <f>IF(A454="","",IF(G454&lt;&gt;"","Paid",IF(TODAY()&gt;E454,"OVERDUE","Awaiting payment")))</f>
        <v/>
      </c>
      <c r="I454">
        <f>IF(H454="OVERDUE",TODAY()-E454,"")</f>
        <v/>
      </c>
    </row>
    <row r="455">
      <c r="A455" s="4" t="n"/>
      <c r="B455" s="4" t="n"/>
      <c r="C455" s="19" t="n"/>
      <c r="D455" s="4" t="n"/>
      <c r="E455" s="9">
        <f>IF(OR(C455="",D455=""),"",C455+D455)</f>
        <v/>
      </c>
      <c r="F455" s="12" t="n"/>
      <c r="G455" s="19" t="n"/>
      <c r="H455">
        <f>IF(A455="","",IF(G455&lt;&gt;"","Paid",IF(TODAY()&gt;E455,"OVERDUE","Awaiting payment")))</f>
        <v/>
      </c>
      <c r="I455">
        <f>IF(H455="OVERDUE",TODAY()-E455,"")</f>
        <v/>
      </c>
    </row>
    <row r="456">
      <c r="A456" s="4" t="n"/>
      <c r="B456" s="4" t="n"/>
      <c r="C456" s="19" t="n"/>
      <c r="D456" s="4" t="n"/>
      <c r="E456" s="9">
        <f>IF(OR(C456="",D456=""),"",C456+D456)</f>
        <v/>
      </c>
      <c r="F456" s="12" t="n"/>
      <c r="G456" s="19" t="n"/>
      <c r="H456">
        <f>IF(A456="","",IF(G456&lt;&gt;"","Paid",IF(TODAY()&gt;E456,"OVERDUE","Awaiting payment")))</f>
        <v/>
      </c>
      <c r="I456">
        <f>IF(H456="OVERDUE",TODAY()-E456,"")</f>
        <v/>
      </c>
    </row>
    <row r="457">
      <c r="A457" s="4" t="n"/>
      <c r="B457" s="4" t="n"/>
      <c r="C457" s="19" t="n"/>
      <c r="D457" s="4" t="n"/>
      <c r="E457" s="9">
        <f>IF(OR(C457="",D457=""),"",C457+D457)</f>
        <v/>
      </c>
      <c r="F457" s="12" t="n"/>
      <c r="G457" s="19" t="n"/>
      <c r="H457">
        <f>IF(A457="","",IF(G457&lt;&gt;"","Paid",IF(TODAY()&gt;E457,"OVERDUE","Awaiting payment")))</f>
        <v/>
      </c>
      <c r="I457">
        <f>IF(H457="OVERDUE",TODAY()-E457,"")</f>
        <v/>
      </c>
    </row>
    <row r="458">
      <c r="A458" s="4" t="n"/>
      <c r="B458" s="4" t="n"/>
      <c r="C458" s="19" t="n"/>
      <c r="D458" s="4" t="n"/>
      <c r="E458" s="9">
        <f>IF(OR(C458="",D458=""),"",C458+D458)</f>
        <v/>
      </c>
      <c r="F458" s="12" t="n"/>
      <c r="G458" s="19" t="n"/>
      <c r="H458">
        <f>IF(A458="","",IF(G458&lt;&gt;"","Paid",IF(TODAY()&gt;E458,"OVERDUE","Awaiting payment")))</f>
        <v/>
      </c>
      <c r="I458">
        <f>IF(H458="OVERDUE",TODAY()-E458,"")</f>
        <v/>
      </c>
    </row>
    <row r="459">
      <c r="A459" s="4" t="n"/>
      <c r="B459" s="4" t="n"/>
      <c r="C459" s="19" t="n"/>
      <c r="D459" s="4" t="n"/>
      <c r="E459" s="9">
        <f>IF(OR(C459="",D459=""),"",C459+D459)</f>
        <v/>
      </c>
      <c r="F459" s="12" t="n"/>
      <c r="G459" s="19" t="n"/>
      <c r="H459">
        <f>IF(A459="","",IF(G459&lt;&gt;"","Paid",IF(TODAY()&gt;E459,"OVERDUE","Awaiting payment")))</f>
        <v/>
      </c>
      <c r="I459">
        <f>IF(H459="OVERDUE",TODAY()-E459,"")</f>
        <v/>
      </c>
    </row>
    <row r="460">
      <c r="A460" s="4" t="n"/>
      <c r="B460" s="4" t="n"/>
      <c r="C460" s="19" t="n"/>
      <c r="D460" s="4" t="n"/>
      <c r="E460" s="9">
        <f>IF(OR(C460="",D460=""),"",C460+D460)</f>
        <v/>
      </c>
      <c r="F460" s="12" t="n"/>
      <c r="G460" s="19" t="n"/>
      <c r="H460">
        <f>IF(A460="","",IF(G460&lt;&gt;"","Paid",IF(TODAY()&gt;E460,"OVERDUE","Awaiting payment")))</f>
        <v/>
      </c>
      <c r="I460">
        <f>IF(H460="OVERDUE",TODAY()-E460,"")</f>
        <v/>
      </c>
    </row>
    <row r="461">
      <c r="A461" s="4" t="n"/>
      <c r="B461" s="4" t="n"/>
      <c r="C461" s="19" t="n"/>
      <c r="D461" s="4" t="n"/>
      <c r="E461" s="9">
        <f>IF(OR(C461="",D461=""),"",C461+D461)</f>
        <v/>
      </c>
      <c r="F461" s="12" t="n"/>
      <c r="G461" s="19" t="n"/>
      <c r="H461">
        <f>IF(A461="","",IF(G461&lt;&gt;"","Paid",IF(TODAY()&gt;E461,"OVERDUE","Awaiting payment")))</f>
        <v/>
      </c>
      <c r="I461">
        <f>IF(H461="OVERDUE",TODAY()-E461,"")</f>
        <v/>
      </c>
    </row>
    <row r="462">
      <c r="A462" s="4" t="n"/>
      <c r="B462" s="4" t="n"/>
      <c r="C462" s="19" t="n"/>
      <c r="D462" s="4" t="n"/>
      <c r="E462" s="9">
        <f>IF(OR(C462="",D462=""),"",C462+D462)</f>
        <v/>
      </c>
      <c r="F462" s="12" t="n"/>
      <c r="G462" s="19" t="n"/>
      <c r="H462">
        <f>IF(A462="","",IF(G462&lt;&gt;"","Paid",IF(TODAY()&gt;E462,"OVERDUE","Awaiting payment")))</f>
        <v/>
      </c>
      <c r="I462">
        <f>IF(H462="OVERDUE",TODAY()-E462,"")</f>
        <v/>
      </c>
    </row>
    <row r="463">
      <c r="A463" s="4" t="n"/>
      <c r="B463" s="4" t="n"/>
      <c r="C463" s="19" t="n"/>
      <c r="D463" s="4" t="n"/>
      <c r="E463" s="9">
        <f>IF(OR(C463="",D463=""),"",C463+D463)</f>
        <v/>
      </c>
      <c r="F463" s="12" t="n"/>
      <c r="G463" s="19" t="n"/>
      <c r="H463">
        <f>IF(A463="","",IF(G463&lt;&gt;"","Paid",IF(TODAY()&gt;E463,"OVERDUE","Awaiting payment")))</f>
        <v/>
      </c>
      <c r="I463">
        <f>IF(H463="OVERDUE",TODAY()-E463,"")</f>
        <v/>
      </c>
    </row>
    <row r="464">
      <c r="A464" s="4" t="n"/>
      <c r="B464" s="4" t="n"/>
      <c r="C464" s="19" t="n"/>
      <c r="D464" s="4" t="n"/>
      <c r="E464" s="9">
        <f>IF(OR(C464="",D464=""),"",C464+D464)</f>
        <v/>
      </c>
      <c r="F464" s="12" t="n"/>
      <c r="G464" s="19" t="n"/>
      <c r="H464">
        <f>IF(A464="","",IF(G464&lt;&gt;"","Paid",IF(TODAY()&gt;E464,"OVERDUE","Awaiting payment")))</f>
        <v/>
      </c>
      <c r="I464">
        <f>IF(H464="OVERDUE",TODAY()-E464,"")</f>
        <v/>
      </c>
    </row>
    <row r="465">
      <c r="A465" s="4" t="n"/>
      <c r="B465" s="4" t="n"/>
      <c r="C465" s="19" t="n"/>
      <c r="D465" s="4" t="n"/>
      <c r="E465" s="9">
        <f>IF(OR(C465="",D465=""),"",C465+D465)</f>
        <v/>
      </c>
      <c r="F465" s="12" t="n"/>
      <c r="G465" s="19" t="n"/>
      <c r="H465">
        <f>IF(A465="","",IF(G465&lt;&gt;"","Paid",IF(TODAY()&gt;E465,"OVERDUE","Awaiting payment")))</f>
        <v/>
      </c>
      <c r="I465">
        <f>IF(H465="OVERDUE",TODAY()-E465,"")</f>
        <v/>
      </c>
    </row>
    <row r="466">
      <c r="A466" s="4" t="n"/>
      <c r="B466" s="4" t="n"/>
      <c r="C466" s="19" t="n"/>
      <c r="D466" s="4" t="n"/>
      <c r="E466" s="9">
        <f>IF(OR(C466="",D466=""),"",C466+D466)</f>
        <v/>
      </c>
      <c r="F466" s="12" t="n"/>
      <c r="G466" s="19" t="n"/>
      <c r="H466">
        <f>IF(A466="","",IF(G466&lt;&gt;"","Paid",IF(TODAY()&gt;E466,"OVERDUE","Awaiting payment")))</f>
        <v/>
      </c>
      <c r="I466">
        <f>IF(H466="OVERDUE",TODAY()-E466,"")</f>
        <v/>
      </c>
    </row>
    <row r="467">
      <c r="A467" s="4" t="n"/>
      <c r="B467" s="4" t="n"/>
      <c r="C467" s="19" t="n"/>
      <c r="D467" s="4" t="n"/>
      <c r="E467" s="9">
        <f>IF(OR(C467="",D467=""),"",C467+D467)</f>
        <v/>
      </c>
      <c r="F467" s="12" t="n"/>
      <c r="G467" s="19" t="n"/>
      <c r="H467">
        <f>IF(A467="","",IF(G467&lt;&gt;"","Paid",IF(TODAY()&gt;E467,"OVERDUE","Awaiting payment")))</f>
        <v/>
      </c>
      <c r="I467">
        <f>IF(H467="OVERDUE",TODAY()-E467,"")</f>
        <v/>
      </c>
    </row>
    <row r="468">
      <c r="A468" s="4" t="n"/>
      <c r="B468" s="4" t="n"/>
      <c r="C468" s="19" t="n"/>
      <c r="D468" s="4" t="n"/>
      <c r="E468" s="9">
        <f>IF(OR(C468="",D468=""),"",C468+D468)</f>
        <v/>
      </c>
      <c r="F468" s="12" t="n"/>
      <c r="G468" s="19" t="n"/>
      <c r="H468">
        <f>IF(A468="","",IF(G468&lt;&gt;"","Paid",IF(TODAY()&gt;E468,"OVERDUE","Awaiting payment")))</f>
        <v/>
      </c>
      <c r="I468">
        <f>IF(H468="OVERDUE",TODAY()-E468,"")</f>
        <v/>
      </c>
    </row>
    <row r="469">
      <c r="A469" s="4" t="n"/>
      <c r="B469" s="4" t="n"/>
      <c r="C469" s="19" t="n"/>
      <c r="D469" s="4" t="n"/>
      <c r="E469" s="9">
        <f>IF(OR(C469="",D469=""),"",C469+D469)</f>
        <v/>
      </c>
      <c r="F469" s="12" t="n"/>
      <c r="G469" s="19" t="n"/>
      <c r="H469">
        <f>IF(A469="","",IF(G469&lt;&gt;"","Paid",IF(TODAY()&gt;E469,"OVERDUE","Awaiting payment")))</f>
        <v/>
      </c>
      <c r="I469">
        <f>IF(H469="OVERDUE",TODAY()-E469,"")</f>
        <v/>
      </c>
    </row>
    <row r="470">
      <c r="A470" s="4" t="n"/>
      <c r="B470" s="4" t="n"/>
      <c r="C470" s="19" t="n"/>
      <c r="D470" s="4" t="n"/>
      <c r="E470" s="9">
        <f>IF(OR(C470="",D470=""),"",C470+D470)</f>
        <v/>
      </c>
      <c r="F470" s="12" t="n"/>
      <c r="G470" s="19" t="n"/>
      <c r="H470">
        <f>IF(A470="","",IF(G470&lt;&gt;"","Paid",IF(TODAY()&gt;E470,"OVERDUE","Awaiting payment")))</f>
        <v/>
      </c>
      <c r="I470">
        <f>IF(H470="OVERDUE",TODAY()-E470,"")</f>
        <v/>
      </c>
    </row>
    <row r="471">
      <c r="A471" s="4" t="n"/>
      <c r="B471" s="4" t="n"/>
      <c r="C471" s="19" t="n"/>
      <c r="D471" s="4" t="n"/>
      <c r="E471" s="9">
        <f>IF(OR(C471="",D471=""),"",C471+D471)</f>
        <v/>
      </c>
      <c r="F471" s="12" t="n"/>
      <c r="G471" s="19" t="n"/>
      <c r="H471">
        <f>IF(A471="","",IF(G471&lt;&gt;"","Paid",IF(TODAY()&gt;E471,"OVERDUE","Awaiting payment")))</f>
        <v/>
      </c>
      <c r="I471">
        <f>IF(H471="OVERDUE",TODAY()-E471,"")</f>
        <v/>
      </c>
    </row>
    <row r="472">
      <c r="A472" s="4" t="n"/>
      <c r="B472" s="4" t="n"/>
      <c r="C472" s="19" t="n"/>
      <c r="D472" s="4" t="n"/>
      <c r="E472" s="9">
        <f>IF(OR(C472="",D472=""),"",C472+D472)</f>
        <v/>
      </c>
      <c r="F472" s="12" t="n"/>
      <c r="G472" s="19" t="n"/>
      <c r="H472">
        <f>IF(A472="","",IF(G472&lt;&gt;"","Paid",IF(TODAY()&gt;E472,"OVERDUE","Awaiting payment")))</f>
        <v/>
      </c>
      <c r="I472">
        <f>IF(H472="OVERDUE",TODAY()-E472,"")</f>
        <v/>
      </c>
    </row>
    <row r="473">
      <c r="A473" s="4" t="n"/>
      <c r="B473" s="4" t="n"/>
      <c r="C473" s="19" t="n"/>
      <c r="D473" s="4" t="n"/>
      <c r="E473" s="9">
        <f>IF(OR(C473="",D473=""),"",C473+D473)</f>
        <v/>
      </c>
      <c r="F473" s="12" t="n"/>
      <c r="G473" s="19" t="n"/>
      <c r="H473">
        <f>IF(A473="","",IF(G473&lt;&gt;"","Paid",IF(TODAY()&gt;E473,"OVERDUE","Awaiting payment")))</f>
        <v/>
      </c>
      <c r="I473">
        <f>IF(H473="OVERDUE",TODAY()-E473,"")</f>
        <v/>
      </c>
    </row>
    <row r="474">
      <c r="A474" s="4" t="n"/>
      <c r="B474" s="4" t="n"/>
      <c r="C474" s="19" t="n"/>
      <c r="D474" s="4" t="n"/>
      <c r="E474" s="9">
        <f>IF(OR(C474="",D474=""),"",C474+D474)</f>
        <v/>
      </c>
      <c r="F474" s="12" t="n"/>
      <c r="G474" s="19" t="n"/>
      <c r="H474">
        <f>IF(A474="","",IF(G474&lt;&gt;"","Paid",IF(TODAY()&gt;E474,"OVERDUE","Awaiting payment")))</f>
        <v/>
      </c>
      <c r="I474">
        <f>IF(H474="OVERDUE",TODAY()-E474,"")</f>
        <v/>
      </c>
    </row>
    <row r="475">
      <c r="A475" s="4" t="n"/>
      <c r="B475" s="4" t="n"/>
      <c r="C475" s="19" t="n"/>
      <c r="D475" s="4" t="n"/>
      <c r="E475" s="9">
        <f>IF(OR(C475="",D475=""),"",C475+D475)</f>
        <v/>
      </c>
      <c r="F475" s="12" t="n"/>
      <c r="G475" s="19" t="n"/>
      <c r="H475">
        <f>IF(A475="","",IF(G475&lt;&gt;"","Paid",IF(TODAY()&gt;E475,"OVERDUE","Awaiting payment")))</f>
        <v/>
      </c>
      <c r="I475">
        <f>IF(H475="OVERDUE",TODAY()-E475,"")</f>
        <v/>
      </c>
    </row>
    <row r="476">
      <c r="A476" s="4" t="n"/>
      <c r="B476" s="4" t="n"/>
      <c r="C476" s="19" t="n"/>
      <c r="D476" s="4" t="n"/>
      <c r="E476" s="9">
        <f>IF(OR(C476="",D476=""),"",C476+D476)</f>
        <v/>
      </c>
      <c r="F476" s="12" t="n"/>
      <c r="G476" s="19" t="n"/>
      <c r="H476">
        <f>IF(A476="","",IF(G476&lt;&gt;"","Paid",IF(TODAY()&gt;E476,"OVERDUE","Awaiting payment")))</f>
        <v/>
      </c>
      <c r="I476">
        <f>IF(H476="OVERDUE",TODAY()-E476,"")</f>
        <v/>
      </c>
    </row>
    <row r="477">
      <c r="A477" s="4" t="n"/>
      <c r="B477" s="4" t="n"/>
      <c r="C477" s="19" t="n"/>
      <c r="D477" s="4" t="n"/>
      <c r="E477" s="9">
        <f>IF(OR(C477="",D477=""),"",C477+D477)</f>
        <v/>
      </c>
      <c r="F477" s="12" t="n"/>
      <c r="G477" s="19" t="n"/>
      <c r="H477">
        <f>IF(A477="","",IF(G477&lt;&gt;"","Paid",IF(TODAY()&gt;E477,"OVERDUE","Awaiting payment")))</f>
        <v/>
      </c>
      <c r="I477">
        <f>IF(H477="OVERDUE",TODAY()-E477,"")</f>
        <v/>
      </c>
    </row>
    <row r="478">
      <c r="A478" s="4" t="n"/>
      <c r="B478" s="4" t="n"/>
      <c r="C478" s="19" t="n"/>
      <c r="D478" s="4" t="n"/>
      <c r="E478" s="9">
        <f>IF(OR(C478="",D478=""),"",C478+D478)</f>
        <v/>
      </c>
      <c r="F478" s="12" t="n"/>
      <c r="G478" s="19" t="n"/>
      <c r="H478">
        <f>IF(A478="","",IF(G478&lt;&gt;"","Paid",IF(TODAY()&gt;E478,"OVERDUE","Awaiting payment")))</f>
        <v/>
      </c>
      <c r="I478">
        <f>IF(H478="OVERDUE",TODAY()-E478,"")</f>
        <v/>
      </c>
    </row>
    <row r="479">
      <c r="A479" s="4" t="n"/>
      <c r="B479" s="4" t="n"/>
      <c r="C479" s="19" t="n"/>
      <c r="D479" s="4" t="n"/>
      <c r="E479" s="9">
        <f>IF(OR(C479="",D479=""),"",C479+D479)</f>
        <v/>
      </c>
      <c r="F479" s="12" t="n"/>
      <c r="G479" s="19" t="n"/>
      <c r="H479">
        <f>IF(A479="","",IF(G479&lt;&gt;"","Paid",IF(TODAY()&gt;E479,"OVERDUE","Awaiting payment")))</f>
        <v/>
      </c>
      <c r="I479">
        <f>IF(H479="OVERDUE",TODAY()-E479,"")</f>
        <v/>
      </c>
    </row>
    <row r="480">
      <c r="A480" s="4" t="n"/>
      <c r="B480" s="4" t="n"/>
      <c r="C480" s="19" t="n"/>
      <c r="D480" s="4" t="n"/>
      <c r="E480" s="9">
        <f>IF(OR(C480="",D480=""),"",C480+D480)</f>
        <v/>
      </c>
      <c r="F480" s="12" t="n"/>
      <c r="G480" s="19" t="n"/>
      <c r="H480">
        <f>IF(A480="","",IF(G480&lt;&gt;"","Paid",IF(TODAY()&gt;E480,"OVERDUE","Awaiting payment")))</f>
        <v/>
      </c>
      <c r="I480">
        <f>IF(H480="OVERDUE",TODAY()-E480,"")</f>
        <v/>
      </c>
    </row>
    <row r="481">
      <c r="A481" s="4" t="n"/>
      <c r="B481" s="4" t="n"/>
      <c r="C481" s="19" t="n"/>
      <c r="D481" s="4" t="n"/>
      <c r="E481" s="9">
        <f>IF(OR(C481="",D481=""),"",C481+D481)</f>
        <v/>
      </c>
      <c r="F481" s="12" t="n"/>
      <c r="G481" s="19" t="n"/>
      <c r="H481">
        <f>IF(A481="","",IF(G481&lt;&gt;"","Paid",IF(TODAY()&gt;E481,"OVERDUE","Awaiting payment")))</f>
        <v/>
      </c>
      <c r="I481">
        <f>IF(H481="OVERDUE",TODAY()-E481,"")</f>
        <v/>
      </c>
    </row>
    <row r="482">
      <c r="A482" s="4" t="n"/>
      <c r="B482" s="4" t="n"/>
      <c r="C482" s="19" t="n"/>
      <c r="D482" s="4" t="n"/>
      <c r="E482" s="9">
        <f>IF(OR(C482="",D482=""),"",C482+D482)</f>
        <v/>
      </c>
      <c r="F482" s="12" t="n"/>
      <c r="G482" s="19" t="n"/>
      <c r="H482">
        <f>IF(A482="","",IF(G482&lt;&gt;"","Paid",IF(TODAY()&gt;E482,"OVERDUE","Awaiting payment")))</f>
        <v/>
      </c>
      <c r="I482">
        <f>IF(H482="OVERDUE",TODAY()-E482,"")</f>
        <v/>
      </c>
    </row>
    <row r="483">
      <c r="A483" s="4" t="n"/>
      <c r="B483" s="4" t="n"/>
      <c r="C483" s="19" t="n"/>
      <c r="D483" s="4" t="n"/>
      <c r="E483" s="9">
        <f>IF(OR(C483="",D483=""),"",C483+D483)</f>
        <v/>
      </c>
      <c r="F483" s="12" t="n"/>
      <c r="G483" s="19" t="n"/>
      <c r="H483">
        <f>IF(A483="","",IF(G483&lt;&gt;"","Paid",IF(TODAY()&gt;E483,"OVERDUE","Awaiting payment")))</f>
        <v/>
      </c>
      <c r="I483">
        <f>IF(H483="OVERDUE",TODAY()-E483,"")</f>
        <v/>
      </c>
    </row>
    <row r="484">
      <c r="A484" s="4" t="n"/>
      <c r="B484" s="4" t="n"/>
      <c r="C484" s="19" t="n"/>
      <c r="D484" s="4" t="n"/>
      <c r="E484" s="9">
        <f>IF(OR(C484="",D484=""),"",C484+D484)</f>
        <v/>
      </c>
      <c r="F484" s="12" t="n"/>
      <c r="G484" s="19" t="n"/>
      <c r="H484">
        <f>IF(A484="","",IF(G484&lt;&gt;"","Paid",IF(TODAY()&gt;E484,"OVERDUE","Awaiting payment")))</f>
        <v/>
      </c>
      <c r="I484">
        <f>IF(H484="OVERDUE",TODAY()-E484,"")</f>
        <v/>
      </c>
    </row>
    <row r="485">
      <c r="A485" s="4" t="n"/>
      <c r="B485" s="4" t="n"/>
      <c r="C485" s="19" t="n"/>
      <c r="D485" s="4" t="n"/>
      <c r="E485" s="9">
        <f>IF(OR(C485="",D485=""),"",C485+D485)</f>
        <v/>
      </c>
      <c r="F485" s="12" t="n"/>
      <c r="G485" s="19" t="n"/>
      <c r="H485">
        <f>IF(A485="","",IF(G485&lt;&gt;"","Paid",IF(TODAY()&gt;E485,"OVERDUE","Awaiting payment")))</f>
        <v/>
      </c>
      <c r="I485">
        <f>IF(H485="OVERDUE",TODAY()-E485,"")</f>
        <v/>
      </c>
    </row>
    <row r="486">
      <c r="A486" s="4" t="n"/>
      <c r="B486" s="4" t="n"/>
      <c r="C486" s="19" t="n"/>
      <c r="D486" s="4" t="n"/>
      <c r="E486" s="9">
        <f>IF(OR(C486="",D486=""),"",C486+D486)</f>
        <v/>
      </c>
      <c r="F486" s="12" t="n"/>
      <c r="G486" s="19" t="n"/>
      <c r="H486">
        <f>IF(A486="","",IF(G486&lt;&gt;"","Paid",IF(TODAY()&gt;E486,"OVERDUE","Awaiting payment")))</f>
        <v/>
      </c>
      <c r="I486">
        <f>IF(H486="OVERDUE",TODAY()-E486,"")</f>
        <v/>
      </c>
    </row>
    <row r="487">
      <c r="A487" s="4" t="n"/>
      <c r="B487" s="4" t="n"/>
      <c r="C487" s="19" t="n"/>
      <c r="D487" s="4" t="n"/>
      <c r="E487" s="9">
        <f>IF(OR(C487="",D487=""),"",C487+D487)</f>
        <v/>
      </c>
      <c r="F487" s="12" t="n"/>
      <c r="G487" s="19" t="n"/>
      <c r="H487">
        <f>IF(A487="","",IF(G487&lt;&gt;"","Paid",IF(TODAY()&gt;E487,"OVERDUE","Awaiting payment")))</f>
        <v/>
      </c>
      <c r="I487">
        <f>IF(H487="OVERDUE",TODAY()-E487,"")</f>
        <v/>
      </c>
    </row>
    <row r="488">
      <c r="A488" s="4" t="n"/>
      <c r="B488" s="4" t="n"/>
      <c r="C488" s="19" t="n"/>
      <c r="D488" s="4" t="n"/>
      <c r="E488" s="9">
        <f>IF(OR(C488="",D488=""),"",C488+D488)</f>
        <v/>
      </c>
      <c r="F488" s="12" t="n"/>
      <c r="G488" s="19" t="n"/>
      <c r="H488">
        <f>IF(A488="","",IF(G488&lt;&gt;"","Paid",IF(TODAY()&gt;E488,"OVERDUE","Awaiting payment")))</f>
        <v/>
      </c>
      <c r="I488">
        <f>IF(H488="OVERDUE",TODAY()-E488,"")</f>
        <v/>
      </c>
    </row>
    <row r="489">
      <c r="A489" s="4" t="n"/>
      <c r="B489" s="4" t="n"/>
      <c r="C489" s="19" t="n"/>
      <c r="D489" s="4" t="n"/>
      <c r="E489" s="9">
        <f>IF(OR(C489="",D489=""),"",C489+D489)</f>
        <v/>
      </c>
      <c r="F489" s="12" t="n"/>
      <c r="G489" s="19" t="n"/>
      <c r="H489">
        <f>IF(A489="","",IF(G489&lt;&gt;"","Paid",IF(TODAY()&gt;E489,"OVERDUE","Awaiting payment")))</f>
        <v/>
      </c>
      <c r="I489">
        <f>IF(H489="OVERDUE",TODAY()-E489,"")</f>
        <v/>
      </c>
    </row>
    <row r="490">
      <c r="A490" s="4" t="n"/>
      <c r="B490" s="4" t="n"/>
      <c r="C490" s="19" t="n"/>
      <c r="D490" s="4" t="n"/>
      <c r="E490" s="9">
        <f>IF(OR(C490="",D490=""),"",C490+D490)</f>
        <v/>
      </c>
      <c r="F490" s="12" t="n"/>
      <c r="G490" s="19" t="n"/>
      <c r="H490">
        <f>IF(A490="","",IF(G490&lt;&gt;"","Paid",IF(TODAY()&gt;E490,"OVERDUE","Awaiting payment")))</f>
        <v/>
      </c>
      <c r="I490">
        <f>IF(H490="OVERDUE",TODAY()-E490,"")</f>
        <v/>
      </c>
    </row>
    <row r="491">
      <c r="A491" s="4" t="n"/>
      <c r="B491" s="4" t="n"/>
      <c r="C491" s="19" t="n"/>
      <c r="D491" s="4" t="n"/>
      <c r="E491" s="9">
        <f>IF(OR(C491="",D491=""),"",C491+D491)</f>
        <v/>
      </c>
      <c r="F491" s="12" t="n"/>
      <c r="G491" s="19" t="n"/>
      <c r="H491">
        <f>IF(A491="","",IF(G491&lt;&gt;"","Paid",IF(TODAY()&gt;E491,"OVERDUE","Awaiting payment")))</f>
        <v/>
      </c>
      <c r="I491">
        <f>IF(H491="OVERDUE",TODAY()-E491,"")</f>
        <v/>
      </c>
    </row>
    <row r="492">
      <c r="A492" s="4" t="n"/>
      <c r="B492" s="4" t="n"/>
      <c r="C492" s="19" t="n"/>
      <c r="D492" s="4" t="n"/>
      <c r="E492" s="9">
        <f>IF(OR(C492="",D492=""),"",C492+D492)</f>
        <v/>
      </c>
      <c r="F492" s="12" t="n"/>
      <c r="G492" s="19" t="n"/>
      <c r="H492">
        <f>IF(A492="","",IF(G492&lt;&gt;"","Paid",IF(TODAY()&gt;E492,"OVERDUE","Awaiting payment")))</f>
        <v/>
      </c>
      <c r="I492">
        <f>IF(H492="OVERDUE",TODAY()-E492,"")</f>
        <v/>
      </c>
    </row>
    <row r="493">
      <c r="A493" s="4" t="n"/>
      <c r="B493" s="4" t="n"/>
      <c r="C493" s="19" t="n"/>
      <c r="D493" s="4" t="n"/>
      <c r="E493" s="9">
        <f>IF(OR(C493="",D493=""),"",C493+D493)</f>
        <v/>
      </c>
      <c r="F493" s="12" t="n"/>
      <c r="G493" s="19" t="n"/>
      <c r="H493">
        <f>IF(A493="","",IF(G493&lt;&gt;"","Paid",IF(TODAY()&gt;E493,"OVERDUE","Awaiting payment")))</f>
        <v/>
      </c>
      <c r="I493">
        <f>IF(H493="OVERDUE",TODAY()-E493,"")</f>
        <v/>
      </c>
    </row>
    <row r="494">
      <c r="A494" s="4" t="n"/>
      <c r="B494" s="4" t="n"/>
      <c r="C494" s="19" t="n"/>
      <c r="D494" s="4" t="n"/>
      <c r="E494" s="9">
        <f>IF(OR(C494="",D494=""),"",C494+D494)</f>
        <v/>
      </c>
      <c r="F494" s="12" t="n"/>
      <c r="G494" s="19" t="n"/>
      <c r="H494">
        <f>IF(A494="","",IF(G494&lt;&gt;"","Paid",IF(TODAY()&gt;E494,"OVERDUE","Awaiting payment")))</f>
        <v/>
      </c>
      <c r="I494">
        <f>IF(H494="OVERDUE",TODAY()-E494,"")</f>
        <v/>
      </c>
    </row>
    <row r="495">
      <c r="A495" s="4" t="n"/>
      <c r="B495" s="4" t="n"/>
      <c r="C495" s="19" t="n"/>
      <c r="D495" s="4" t="n"/>
      <c r="E495" s="9">
        <f>IF(OR(C495="",D495=""),"",C495+D495)</f>
        <v/>
      </c>
      <c r="F495" s="12" t="n"/>
      <c r="G495" s="19" t="n"/>
      <c r="H495">
        <f>IF(A495="","",IF(G495&lt;&gt;"","Paid",IF(TODAY()&gt;E495,"OVERDUE","Awaiting payment")))</f>
        <v/>
      </c>
      <c r="I495">
        <f>IF(H495="OVERDUE",TODAY()-E495,"")</f>
        <v/>
      </c>
    </row>
    <row r="496">
      <c r="A496" s="4" t="n"/>
      <c r="B496" s="4" t="n"/>
      <c r="C496" s="19" t="n"/>
      <c r="D496" s="4" t="n"/>
      <c r="E496" s="9">
        <f>IF(OR(C496="",D496=""),"",C496+D496)</f>
        <v/>
      </c>
      <c r="F496" s="12" t="n"/>
      <c r="G496" s="19" t="n"/>
      <c r="H496">
        <f>IF(A496="","",IF(G496&lt;&gt;"","Paid",IF(TODAY()&gt;E496,"OVERDUE","Awaiting payment")))</f>
        <v/>
      </c>
      <c r="I496">
        <f>IF(H496="OVERDUE",TODAY()-E496,"")</f>
        <v/>
      </c>
    </row>
    <row r="497">
      <c r="A497" s="4" t="n"/>
      <c r="B497" s="4" t="n"/>
      <c r="C497" s="19" t="n"/>
      <c r="D497" s="4" t="n"/>
      <c r="E497" s="9">
        <f>IF(OR(C497="",D497=""),"",C497+D497)</f>
        <v/>
      </c>
      <c r="F497" s="12" t="n"/>
      <c r="G497" s="19" t="n"/>
      <c r="H497">
        <f>IF(A497="","",IF(G497&lt;&gt;"","Paid",IF(TODAY()&gt;E497,"OVERDUE","Awaiting payment")))</f>
        <v/>
      </c>
      <c r="I497">
        <f>IF(H497="OVERDUE",TODAY()-E497,"")</f>
        <v/>
      </c>
    </row>
    <row r="498">
      <c r="A498" s="4" t="n"/>
      <c r="B498" s="4" t="n"/>
      <c r="C498" s="19" t="n"/>
      <c r="D498" s="4" t="n"/>
      <c r="E498" s="9">
        <f>IF(OR(C498="",D498=""),"",C498+D498)</f>
        <v/>
      </c>
      <c r="F498" s="12" t="n"/>
      <c r="G498" s="19" t="n"/>
      <c r="H498">
        <f>IF(A498="","",IF(G498&lt;&gt;"","Paid",IF(TODAY()&gt;E498,"OVERDUE","Awaiting payment")))</f>
        <v/>
      </c>
      <c r="I498">
        <f>IF(H498="OVERDUE",TODAY()-E498,"")</f>
        <v/>
      </c>
    </row>
    <row r="499">
      <c r="A499" s="4" t="n"/>
      <c r="B499" s="4" t="n"/>
      <c r="C499" s="19" t="n"/>
      <c r="D499" s="4" t="n"/>
      <c r="E499" s="9">
        <f>IF(OR(C499="",D499=""),"",C499+D499)</f>
        <v/>
      </c>
      <c r="F499" s="12" t="n"/>
      <c r="G499" s="19" t="n"/>
      <c r="H499">
        <f>IF(A499="","",IF(G499&lt;&gt;"","Paid",IF(TODAY()&gt;E499,"OVERDUE","Awaiting payment")))</f>
        <v/>
      </c>
      <c r="I499">
        <f>IF(H499="OVERDUE",TODAY()-E499,"")</f>
        <v/>
      </c>
    </row>
    <row r="500">
      <c r="A500" s="4" t="n"/>
      <c r="B500" s="4" t="n"/>
      <c r="C500" s="19" t="n"/>
      <c r="D500" s="4" t="n"/>
      <c r="E500" s="9">
        <f>IF(OR(C500="",D500=""),"",C500+D500)</f>
        <v/>
      </c>
      <c r="F500" s="12" t="n"/>
      <c r="G500" s="19" t="n"/>
      <c r="H500">
        <f>IF(A500="","",IF(G500&lt;&gt;"","Paid",IF(TODAY()&gt;E500,"OVERDUE","Awaiting payment")))</f>
        <v/>
      </c>
      <c r="I500">
        <f>IF(H500="OVERDUE",TODAY()-E500,"")</f>
        <v/>
      </c>
    </row>
    <row r="501">
      <c r="A501" s="4" t="n"/>
      <c r="B501" s="4" t="n"/>
      <c r="C501" s="19" t="n"/>
      <c r="D501" s="4" t="n"/>
      <c r="E501" s="9">
        <f>IF(OR(C501="",D501=""),"",C501+D501)</f>
        <v/>
      </c>
      <c r="F501" s="12" t="n"/>
      <c r="G501" s="19" t="n"/>
      <c r="H501">
        <f>IF(A501="","",IF(G501&lt;&gt;"","Paid",IF(TODAY()&gt;E501,"OVERDUE","Awaiting payment")))</f>
        <v/>
      </c>
      <c r="I501">
        <f>IF(H501="OVERDUE",TODAY()-E501,"")</f>
        <v/>
      </c>
    </row>
    <row r="502">
      <c r="A502" s="4" t="n"/>
      <c r="B502" s="4" t="n"/>
      <c r="C502" s="19" t="n"/>
      <c r="D502" s="4" t="n"/>
      <c r="E502" s="9">
        <f>IF(OR(C502="",D502=""),"",C502+D502)</f>
        <v/>
      </c>
      <c r="F502" s="12" t="n"/>
      <c r="G502" s="19" t="n"/>
      <c r="H502">
        <f>IF(A502="","",IF(G502&lt;&gt;"","Paid",IF(TODAY()&gt;E502,"OVERDUE","Awaiting payment")))</f>
        <v/>
      </c>
      <c r="I502">
        <f>IF(H502="OVERDUE",TODAY()-E502,"")</f>
        <v/>
      </c>
    </row>
    <row r="503">
      <c r="A503" s="4" t="n"/>
      <c r="B503" s="4" t="n"/>
      <c r="C503" s="19" t="n"/>
      <c r="D503" s="4" t="n"/>
      <c r="E503" s="9">
        <f>IF(OR(C503="",D503=""),"",C503+D503)</f>
        <v/>
      </c>
      <c r="F503" s="12" t="n"/>
      <c r="G503" s="19" t="n"/>
      <c r="H503">
        <f>IF(A503="","",IF(G503&lt;&gt;"","Paid",IF(TODAY()&gt;E503,"OVERDUE","Awaiting payment")))</f>
        <v/>
      </c>
      <c r="I503">
        <f>IF(H503="OVERDUE",TODAY()-E503,"")</f>
        <v/>
      </c>
    </row>
    <row r="504">
      <c r="A504" s="4" t="n"/>
      <c r="B504" s="4" t="n"/>
      <c r="C504" s="19" t="n"/>
      <c r="D504" s="4" t="n"/>
      <c r="E504" s="9">
        <f>IF(OR(C504="",D504=""),"",C504+D504)</f>
        <v/>
      </c>
      <c r="F504" s="12" t="n"/>
      <c r="G504" s="19" t="n"/>
      <c r="H504">
        <f>IF(A504="","",IF(G504&lt;&gt;"","Paid",IF(TODAY()&gt;E504,"OVERDUE","Awaiting payment")))</f>
        <v/>
      </c>
      <c r="I504">
        <f>IF(H504="OVERDUE",TODAY()-E504,"")</f>
        <v/>
      </c>
    </row>
  </sheetData>
  <conditionalFormatting sqref="A5:I504">
    <cfRule type="expression" priority="1" dxfId="0">
      <formula>$H5="OVERDUE"</formula>
    </cfRule>
    <cfRule type="expression" priority="2" dxfId="1">
      <formula>$H5="Paid"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2026-10-29T01:29:20Z</dcterms:created>
  <dcterms:modified xmlns:dcterms="http://purl.org/dc/terms/" xmlns:xsi="http://www.w3.org/2001/XMLSchema-instance" xsi:type="dcterms:W3CDTF">2026-10-29T01:29:20Z</dcterms:modified>
</cp:coreProperties>
</file>