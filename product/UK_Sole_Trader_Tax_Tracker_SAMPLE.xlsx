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Income" sheetId="3" state="visible" r:id="rId3"/>
    <sheet xmlns:r="http://schemas.openxmlformats.org/officeDocument/2006/relationships" name="Expenses" sheetId="4" state="visible" r:id="rId4"/>
    <sheet xmlns:r="http://schemas.openxmlformats.org/officeDocument/2006/relationships" name="Quarterly Summary" sheetId="5" state="visible" r:id="rId5"/>
    <sheet xmlns:r="http://schemas.openxmlformats.org/officeDocument/2006/relationships" name="Tax Estimate" sheetId="6" state="visible" r:id="rId6"/>
  </sheets>
  <definedNames>
    <definedName name="TaxStart">Settings!$B$5</definedName>
    <definedName name="TaxEnd">Settings!$B$6</definedName>
    <definedName name="PA">Settings!$B$7</definedName>
    <definedName name="TaperStart">Settings!$B$8</definedName>
    <definedName name="BasicBand">Settings!$B$9</definedName>
    <definedName name="AddlThreshold">Settings!$B$10</definedName>
    <definedName name="BasicRate">Settings!$B$11</definedName>
    <definedName name="HigherRate">Settings!$B$12</definedName>
    <definedName name="AddlRate">Settings!$B$13</definedName>
    <definedName name="NICLower">Settings!$B$14</definedName>
    <definedName name="NICUpper">Settings!$B$15</definedName>
    <definedName name="NICMain">Settings!$B$16</definedName>
    <definedName name="NICUpperRate">Settings!$B$17</definedName>
    <definedName name="TradingAllow">Settings!$B$18</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0;[Red]-£#,##0.00"/>
    <numFmt numFmtId="167" formatCode="0.0%"/>
  </numFmts>
  <fonts count="10">
    <font>
      <name val="Calibri"/>
      <family val="2"/>
      <color theme="1"/>
      <sz val="11"/>
      <scheme val="minor"/>
    </font>
    <font>
      <b val="1"/>
      <color rgb="001F3A5F"/>
      <sz val="16"/>
    </font>
    <font>
      <i val="1"/>
      <color rgb="00666666"/>
    </font>
    <font>
      <b val="1"/>
      <color rgb="001F3A5F"/>
      <sz val="12"/>
    </font>
    <font>
      <color rgb="00000000"/>
      <sz val="11"/>
    </font>
    <font>
      <b val="1"/>
      <color rgb="00FFFFFF"/>
    </font>
    <font>
      <color rgb="00666666"/>
      <sz val="9"/>
    </font>
    <font>
      <b val="1"/>
    </font>
    <font>
      <b val="1"/>
      <color rgb="001F3A5F"/>
    </font>
    <font>
      <i val="1"/>
      <color rgb="00B00020"/>
    </font>
  </fonts>
  <fills count="5">
    <fill>
      <patternFill/>
    </fill>
    <fill>
      <patternFill patternType="gray125"/>
    </fill>
    <fill>
      <patternFill patternType="solid">
        <fgColor rgb="001F3A5F"/>
      </patternFill>
    </fill>
    <fill>
      <patternFill patternType="solid">
        <fgColor rgb="00FFF8E1"/>
      </patternFill>
    </fill>
    <fill>
      <patternFill patternType="solid">
        <fgColor rgb="00EAF4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5" fillId="2" borderId="0" pivotButton="0" quotePrefix="0" xfId="0"/>
    <xf numFmtId="0" fontId="0" fillId="0" borderId="1" pivotButton="0" quotePrefix="0" xfId="0"/>
    <xf numFmtId="165" fontId="0" fillId="3" borderId="1" pivotButton="0" quotePrefix="0" xfId="0"/>
    <xf numFmtId="0" fontId="0" fillId="3" borderId="0" pivotButton="0" quotePrefix="0" xfId="0"/>
    <xf numFmtId="165" fontId="0" fillId="0" borderId="1" pivotButton="0" quotePrefix="0" xfId="0"/>
    <xf numFmtId="166" fontId="0" fillId="3" borderId="1" pivotButton="0" quotePrefix="0" xfId="0"/>
    <xf numFmtId="9" fontId="0" fillId="3" borderId="1" pivotButton="0" quotePrefix="0" xfId="0"/>
    <xf numFmtId="0" fontId="0" fillId="3" borderId="1" pivotButton="0" quotePrefix="0" xfId="0"/>
    <xf numFmtId="0" fontId="6" fillId="0" borderId="0" applyAlignment="1" pivotButton="0" quotePrefix="0" xfId="0">
      <alignment horizontal="center"/>
    </xf>
    <xf numFmtId="0" fontId="7" fillId="0" borderId="0" pivotButton="0" quotePrefix="0" xfId="0"/>
    <xf numFmtId="166" fontId="7" fillId="4" borderId="0" pivotButton="0" quotePrefix="0" xfId="0"/>
    <xf numFmtId="166" fontId="0" fillId="0" borderId="0" pivotButton="0" quotePrefix="0" xfId="0"/>
    <xf numFmtId="0" fontId="8" fillId="0" borderId="0" pivotButton="0" quotePrefix="0" xfId="0"/>
    <xf numFmtId="167" fontId="0"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UK Sole Trader Tax Tracker</t>
        </is>
      </c>
    </row>
    <row r="2">
      <c r="A2" s="2" t="inlineStr">
        <is>
          <t>Income &amp; expenses log, quarterly (MTD) summaries and a tax estimate - Excel &amp; Google Sheets</t>
        </is>
      </c>
    </row>
    <row r="4">
      <c r="A4" s="3" t="inlineStr">
        <is>
          <t>How to use</t>
        </is>
      </c>
    </row>
    <row r="5">
      <c r="A5" s="4" t="inlineStr">
        <is>
          <t>1. Go to Settings and check the tax year start date (default 6 April 2026 - 5 April 2027).</t>
        </is>
      </c>
    </row>
    <row r="6">
      <c r="A6" s="4" t="inlineStr">
        <is>
          <t>2. Log every payment you receive on the Income sheet (yellow cells only).</t>
        </is>
      </c>
    </row>
    <row r="7">
      <c r="A7" s="4" t="inlineStr">
        <is>
          <t>3. Log every business cost on the Expenses sheet and pick a category from the drop-down.</t>
        </is>
      </c>
    </row>
    <row r="8">
      <c r="A8" s="4" t="inlineStr">
        <is>
          <t>4. The Quarterly Summary sheet totals income and expenses per quarter - use these figures for your MTD quarterly updates.</t>
        </is>
      </c>
    </row>
    <row r="9">
      <c r="A9" s="4" t="inlineStr">
        <is>
          <t>5. The Tax Estimate sheet shows an approximate Income Tax + Class 4 NIC bill for the year.</t>
        </is>
      </c>
    </row>
    <row r="10">
      <c r="A10" s="4" t="inlineStr"/>
    </row>
    <row r="11">
      <c r="A11" s="3" t="inlineStr">
        <is>
          <t>Important notes</t>
        </is>
      </c>
    </row>
    <row r="12">
      <c r="A12" s="4" t="inlineStr">
        <is>
          <t>- Quarters follow the standard tax-year periods: 6 Apr-5 Jul, 6 Jul-5 Oct, 6 Oct-5 Jan, 6 Jan-5 Apr.</t>
        </is>
      </c>
    </row>
    <row r="13">
      <c r="A13" s="4" t="inlineStr">
        <is>
          <t>- The estimate assumes your only income is this self-employment, and uses England/Wales/Northern Ireland rates. Scottish rates differ.</t>
        </is>
      </c>
    </row>
    <row r="14">
      <c r="A14" s="4" t="inlineStr">
        <is>
          <t>- It is an ESTIMATE to help you plan, not tax advice. Check figures against GOV.UK or an accountant before filing.</t>
        </is>
      </c>
    </row>
    <row r="15">
      <c r="A15" s="4" t="inlineStr">
        <is>
          <t>- This workbook does not submit anything to HMRC. For MTD you also need HMRC-recognised software (many accept spreadsheet uploads via bridging software).</t>
        </is>
      </c>
    </row>
    <row r="16">
      <c r="A16" s="4" t="inlineStr">
        <is>
          <t>- Rates and thresholds live on the Settings sheet - update them if the rules change.</t>
        </is>
      </c>
    </row>
    <row r="17">
      <c r="A17" s="4" t="inlineStr">
        <is>
          <t>- Yellow cells = you type here. Everything else is calculated; please don't overwrite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2" customWidth="1" min="1" max="1"/>
    <col width="18" customWidth="1" min="2" max="2"/>
    <col width="38" customWidth="1" min="4" max="4"/>
  </cols>
  <sheetData>
    <row r="1">
      <c r="A1" s="1" t="inlineStr">
        <is>
          <t>Settings</t>
        </is>
      </c>
    </row>
    <row r="2">
      <c r="A2" s="2" t="inlineStr">
        <is>
          <t>Change the yellow cells only if the tax year or rules change</t>
        </is>
      </c>
    </row>
    <row r="4">
      <c r="A4" s="5" t="inlineStr">
        <is>
          <t>Setting</t>
        </is>
      </c>
      <c r="B4" s="5" t="inlineStr">
        <is>
          <t>Value</t>
        </is>
      </c>
      <c r="D4" s="6" t="inlineStr">
        <is>
          <t>Expense categories</t>
        </is>
      </c>
    </row>
    <row r="5">
      <c r="A5" s="7" t="inlineStr">
        <is>
          <t>Tax year start</t>
        </is>
      </c>
      <c r="B5" s="8" t="n">
        <v>46118</v>
      </c>
      <c r="D5" s="9" t="inlineStr">
        <is>
          <t>Cost of goods bought for resale</t>
        </is>
      </c>
    </row>
    <row r="6">
      <c r="A6" s="7" t="inlineStr">
        <is>
          <t>Tax year end</t>
        </is>
      </c>
      <c r="B6" s="10">
        <f>DATE(YEAR(TaxStart)+1,4,5)</f>
        <v/>
      </c>
      <c r="D6" s="9" t="inlineStr">
        <is>
          <t>Subcontractors / staff costs</t>
        </is>
      </c>
    </row>
    <row r="7">
      <c r="A7" s="7" t="inlineStr">
        <is>
          <t>Personal allowance</t>
        </is>
      </c>
      <c r="B7" s="11" t="n">
        <v>12570</v>
      </c>
      <c r="D7" s="9" t="inlineStr">
        <is>
          <t>Car, van &amp; travel</t>
        </is>
      </c>
    </row>
    <row r="8">
      <c r="A8" s="7" t="inlineStr">
        <is>
          <t>Allowance taper starts at income of</t>
        </is>
      </c>
      <c r="B8" s="11" t="n">
        <v>100000</v>
      </c>
      <c r="D8" s="9" t="inlineStr">
        <is>
          <t>Premises &amp; utilities</t>
        </is>
      </c>
    </row>
    <row r="9">
      <c r="A9" s="7" t="inlineStr">
        <is>
          <t>Basic rate band (taxable income)</t>
        </is>
      </c>
      <c r="B9" s="11" t="n">
        <v>37700</v>
      </c>
      <c r="D9" s="9" t="inlineStr">
        <is>
          <t>Office, phone &amp; software</t>
        </is>
      </c>
    </row>
    <row r="10">
      <c r="A10" s="7" t="inlineStr">
        <is>
          <t>Additional rate threshold (taxable income)</t>
        </is>
      </c>
      <c r="B10" s="11" t="n">
        <v>125140</v>
      </c>
      <c r="D10" s="9" t="inlineStr">
        <is>
          <t>Advertising &amp; marketing</t>
        </is>
      </c>
    </row>
    <row r="11">
      <c r="A11" s="7" t="inlineStr">
        <is>
          <t>Basic rate</t>
        </is>
      </c>
      <c r="B11" s="12" t="n">
        <v>0.2</v>
      </c>
      <c r="D11" s="9" t="inlineStr">
        <is>
          <t>Bank &amp; finance charges</t>
        </is>
      </c>
    </row>
    <row r="12">
      <c r="A12" s="7" t="inlineStr">
        <is>
          <t>Higher rate</t>
        </is>
      </c>
      <c r="B12" s="12" t="n">
        <v>0.4</v>
      </c>
      <c r="D12" s="9" t="inlineStr">
        <is>
          <t>Professional fees (accountant etc.)</t>
        </is>
      </c>
    </row>
    <row r="13">
      <c r="A13" s="7" t="inlineStr">
        <is>
          <t>Additional rate</t>
        </is>
      </c>
      <c r="B13" s="12" t="n">
        <v>0.45</v>
      </c>
      <c r="D13" s="9" t="inlineStr">
        <is>
          <t>Training &amp; subscriptions</t>
        </is>
      </c>
    </row>
    <row r="14">
      <c r="A14" s="7" t="inlineStr">
        <is>
          <t>Class 4 NIC lower profits limit</t>
        </is>
      </c>
      <c r="B14" s="11" t="n">
        <v>12570</v>
      </c>
      <c r="D14" s="9" t="inlineStr">
        <is>
          <t>Insurance</t>
        </is>
      </c>
    </row>
    <row r="15">
      <c r="A15" s="7" t="inlineStr">
        <is>
          <t>Class 4 NIC upper profits limit</t>
        </is>
      </c>
      <c r="B15" s="11" t="n">
        <v>50270</v>
      </c>
      <c r="D15" s="9" t="inlineStr">
        <is>
          <t>Other allowable expenses</t>
        </is>
      </c>
    </row>
    <row r="16">
      <c r="A16" s="7" t="inlineStr">
        <is>
          <t>Class 4 NIC main rate</t>
        </is>
      </c>
      <c r="B16" s="12" t="n">
        <v>0.06</v>
      </c>
    </row>
    <row r="17">
      <c r="A17" s="7" t="inlineStr">
        <is>
          <t>Class 4 NIC rate above upper limit</t>
        </is>
      </c>
      <c r="B17" s="12" t="n">
        <v>0.02</v>
      </c>
    </row>
    <row r="18">
      <c r="A18" s="7" t="inlineStr">
        <is>
          <t>Trading allowance (alternative to claiming expenses)</t>
        </is>
      </c>
      <c r="B18" s="11"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4"/>
  <sheetViews>
    <sheetView workbookViewId="0">
      <pane ySplit="4" topLeftCell="A5" activePane="bottomLeft" state="frozen"/>
      <selection pane="bottomLeft" activeCell="A1" sqref="A1"/>
    </sheetView>
  </sheetViews>
  <sheetFormatPr baseColWidth="8" defaultRowHeight="15"/>
  <cols>
    <col width="14" customWidth="1" min="1" max="1"/>
    <col width="28" customWidth="1" min="2" max="2"/>
    <col width="40" customWidth="1" min="3" max="3"/>
    <col width="16" customWidth="1" min="4" max="4"/>
    <col width="18" customWidth="1" min="5" max="5"/>
  </cols>
  <sheetData>
    <row r="1">
      <c r="A1" s="1" t="inlineStr">
        <is>
          <t>Income</t>
        </is>
      </c>
    </row>
    <row r="2">
      <c r="A2" s="2" t="inlineStr">
        <is>
          <t>Money received from customers (before any expenses)</t>
        </is>
      </c>
    </row>
    <row r="4">
      <c r="A4" s="5" t="inlineStr">
        <is>
          <t>Date</t>
        </is>
      </c>
      <c r="B4" s="5" t="inlineStr">
        <is>
          <t>Customer</t>
        </is>
      </c>
      <c r="C4" s="5" t="inlineStr">
        <is>
          <t>Description</t>
        </is>
      </c>
      <c r="D4" s="5" t="inlineStr">
        <is>
          <t>Amount (£)</t>
        </is>
      </c>
      <c r="E4" s="5" t="inlineStr">
        <is>
          <t>Quarter</t>
        </is>
      </c>
    </row>
    <row r="5">
      <c r="A5" s="8" t="n">
        <v>46132</v>
      </c>
      <c r="B5" s="13" t="inlineStr">
        <is>
          <t>Acme Ltd</t>
        </is>
      </c>
      <c r="C5" s="13" t="inlineStr">
        <is>
          <t>Website design</t>
        </is>
      </c>
      <c r="D5" s="11" t="n">
        <v>1500</v>
      </c>
      <c r="E5" s="7">
        <f>IF(A5="","",IF(OR(A5&lt;TaxStart,A5&gt;TaxEnd),"Outside tax year",IF(A5&lt;DATE(YEAR(TaxStart),7,6),"Q1",IF(A5&lt;DATE(YEAR(TaxStart),10,6),"Q2",IF(A5&lt;DATE(YEAR(TaxStart)+1,1,6),"Q3","Q4")))))</f>
        <v/>
      </c>
    </row>
    <row r="6">
      <c r="A6" s="8" t="n">
        <v>46203</v>
      </c>
      <c r="B6" s="13" t="inlineStr">
        <is>
          <t>Bloom Cafe</t>
        </is>
      </c>
      <c r="C6" s="13" t="inlineStr">
        <is>
          <t>Logo</t>
        </is>
      </c>
      <c r="D6" s="11" t="n">
        <v>800</v>
      </c>
      <c r="E6" s="7">
        <f>IF(A6="","",IF(OR(A6&lt;TaxStart,A6&gt;TaxEnd),"Outside tax year",IF(A6&lt;DATE(YEAR(TaxStart),7,6),"Q1",IF(A6&lt;DATE(YEAR(TaxStart),10,6),"Q2",IF(A6&lt;DATE(YEAR(TaxStart)+1,1,6),"Q3","Q4")))))</f>
        <v/>
      </c>
    </row>
    <row r="7">
      <c r="A7" s="8" t="n">
        <v>46209</v>
      </c>
      <c r="B7" s="13" t="inlineStr">
        <is>
          <t>Acme Ltd</t>
        </is>
      </c>
      <c r="C7" s="13" t="inlineStr">
        <is>
          <t>Maintenance</t>
        </is>
      </c>
      <c r="D7" s="11" t="n">
        <v>600</v>
      </c>
      <c r="E7" s="7">
        <f>IF(A7="","",IF(OR(A7&lt;TaxStart,A7&gt;TaxEnd),"Outside tax year",IF(A7&lt;DATE(YEAR(TaxStart),7,6),"Q1",IF(A7&lt;DATE(YEAR(TaxStart),10,6),"Q2",IF(A7&lt;DATE(YEAR(TaxStart)+1,1,6),"Q3","Q4")))))</f>
        <v/>
      </c>
    </row>
    <row r="8">
      <c r="A8" s="8" t="n">
        <v>46300</v>
      </c>
      <c r="B8" s="13" t="inlineStr">
        <is>
          <t>J Smith</t>
        </is>
      </c>
      <c r="C8" s="13" t="inlineStr">
        <is>
          <t>Consulting</t>
        </is>
      </c>
      <c r="D8" s="11" t="n">
        <v>2500</v>
      </c>
      <c r="E8" s="7">
        <f>IF(A8="","",IF(OR(A8&lt;TaxStart,A8&gt;TaxEnd),"Outside tax year",IF(A8&lt;DATE(YEAR(TaxStart),7,6),"Q1",IF(A8&lt;DATE(YEAR(TaxStart),10,6),"Q2",IF(A8&lt;DATE(YEAR(TaxStart)+1,1,6),"Q3","Q4")))))</f>
        <v/>
      </c>
    </row>
    <row r="9">
      <c r="A9" s="8" t="n">
        <v>46301</v>
      </c>
      <c r="B9" s="13" t="inlineStr">
        <is>
          <t>Bloom Cafe</t>
        </is>
      </c>
      <c r="C9" s="13" t="inlineStr">
        <is>
          <t>Menu design</t>
        </is>
      </c>
      <c r="D9" s="11" t="n">
        <v>1200</v>
      </c>
      <c r="E9" s="7">
        <f>IF(A9="","",IF(OR(A9&lt;TaxStart,A9&gt;TaxEnd),"Outside tax year",IF(A9&lt;DATE(YEAR(TaxStart),7,6),"Q1",IF(A9&lt;DATE(YEAR(TaxStart),10,6),"Q2",IF(A9&lt;DATE(YEAR(TaxStart)+1,1,6),"Q3","Q4")))))</f>
        <v/>
      </c>
    </row>
    <row r="10">
      <c r="A10" s="8" t="n">
        <v>46392</v>
      </c>
      <c r="B10" s="13" t="inlineStr">
        <is>
          <t>Acme Ltd</t>
        </is>
      </c>
      <c r="C10" s="13" t="inlineStr">
        <is>
          <t>Retainer</t>
        </is>
      </c>
      <c r="D10" s="11" t="n">
        <v>3000</v>
      </c>
      <c r="E10" s="7">
        <f>IF(A10="","",IF(OR(A10&lt;TaxStart,A10&gt;TaxEnd),"Outside tax year",IF(A10&lt;DATE(YEAR(TaxStart),7,6),"Q1",IF(A10&lt;DATE(YEAR(TaxStart),10,6),"Q2",IF(A10&lt;DATE(YEAR(TaxStart)+1,1,6),"Q3","Q4")))))</f>
        <v/>
      </c>
    </row>
    <row r="11">
      <c r="A11" s="8" t="n">
        <v>46393</v>
      </c>
      <c r="B11" s="13" t="inlineStr">
        <is>
          <t>Acme Ltd</t>
        </is>
      </c>
      <c r="C11" s="13" t="inlineStr">
        <is>
          <t>Retainer</t>
        </is>
      </c>
      <c r="D11" s="11" t="n">
        <v>3000</v>
      </c>
      <c r="E11" s="7">
        <f>IF(A11="","",IF(OR(A11&lt;TaxStart,A11&gt;TaxEnd),"Outside tax year",IF(A11&lt;DATE(YEAR(TaxStart),7,6),"Q1",IF(A11&lt;DATE(YEAR(TaxStart),10,6),"Q2",IF(A11&lt;DATE(YEAR(TaxStart)+1,1,6),"Q3","Q4")))))</f>
        <v/>
      </c>
    </row>
    <row r="12">
      <c r="A12" s="8" t="n">
        <v>46477</v>
      </c>
      <c r="B12" s="13" t="inlineStr">
        <is>
          <t>J Smith</t>
        </is>
      </c>
      <c r="C12" s="13" t="inlineStr">
        <is>
          <t>Project</t>
        </is>
      </c>
      <c r="D12" s="11" t="n">
        <v>8000</v>
      </c>
      <c r="E12" s="7">
        <f>IF(A12="","",IF(OR(A12&lt;TaxStart,A12&gt;TaxEnd),"Outside tax year",IF(A12&lt;DATE(YEAR(TaxStart),7,6),"Q1",IF(A12&lt;DATE(YEAR(TaxStart),10,6),"Q2",IF(A12&lt;DATE(YEAR(TaxStart)+1,1,6),"Q3","Q4")))))</f>
        <v/>
      </c>
    </row>
    <row r="13">
      <c r="A13" s="8" t="n">
        <v>46483</v>
      </c>
      <c r="B13" s="13" t="inlineStr">
        <is>
          <t>Late Co</t>
        </is>
      </c>
      <c r="C13" s="13" t="inlineStr">
        <is>
          <t>Next year job</t>
        </is>
      </c>
      <c r="D13" s="11" t="n">
        <v>999</v>
      </c>
      <c r="E13" s="7">
        <f>IF(A13="","",IF(OR(A13&lt;TaxStart,A13&gt;TaxEnd),"Outside tax year",IF(A13&lt;DATE(YEAR(TaxStart),7,6),"Q1",IF(A13&lt;DATE(YEAR(TaxStart),10,6),"Q2",IF(A13&lt;DATE(YEAR(TaxStart)+1,1,6),"Q3","Q4")))))</f>
        <v/>
      </c>
    </row>
    <row r="14">
      <c r="A14" s="8" t="n"/>
      <c r="B14" s="13" t="n"/>
      <c r="C14" s="13" t="n"/>
      <c r="D14" s="11" t="n"/>
      <c r="E14" s="7">
        <f>IF(A14="","",IF(OR(A14&lt;TaxStart,A14&gt;TaxEnd),"Outside tax year",IF(A14&lt;DATE(YEAR(TaxStart),7,6),"Q1",IF(A14&lt;DATE(YEAR(TaxStart),10,6),"Q2",IF(A14&lt;DATE(YEAR(TaxStart)+1,1,6),"Q3","Q4")))))</f>
        <v/>
      </c>
    </row>
    <row r="15">
      <c r="A15" s="8" t="n"/>
      <c r="B15" s="13" t="n"/>
      <c r="C15" s="13" t="n"/>
      <c r="D15" s="11" t="n"/>
      <c r="E15" s="7">
        <f>IF(A15="","",IF(OR(A15&lt;TaxStart,A15&gt;TaxEnd),"Outside tax year",IF(A15&lt;DATE(YEAR(TaxStart),7,6),"Q1",IF(A15&lt;DATE(YEAR(TaxStart),10,6),"Q2",IF(A15&lt;DATE(YEAR(TaxStart)+1,1,6),"Q3","Q4")))))</f>
        <v/>
      </c>
    </row>
    <row r="16">
      <c r="A16" s="8" t="n"/>
      <c r="B16" s="13" t="n"/>
      <c r="C16" s="13" t="n"/>
      <c r="D16" s="11" t="n"/>
      <c r="E16" s="7">
        <f>IF(A16="","",IF(OR(A16&lt;TaxStart,A16&gt;TaxEnd),"Outside tax year",IF(A16&lt;DATE(YEAR(TaxStart),7,6),"Q1",IF(A16&lt;DATE(YEAR(TaxStart),10,6),"Q2",IF(A16&lt;DATE(YEAR(TaxStart)+1,1,6),"Q3","Q4")))))</f>
        <v/>
      </c>
    </row>
    <row r="17">
      <c r="A17" s="8" t="n"/>
      <c r="B17" s="13" t="n"/>
      <c r="C17" s="13" t="n"/>
      <c r="D17" s="11" t="n"/>
      <c r="E17" s="7">
        <f>IF(A17="","",IF(OR(A17&lt;TaxStart,A17&gt;TaxEnd),"Outside tax year",IF(A17&lt;DATE(YEAR(TaxStart),7,6),"Q1",IF(A17&lt;DATE(YEAR(TaxStart),10,6),"Q2",IF(A17&lt;DATE(YEAR(TaxStart)+1,1,6),"Q3","Q4")))))</f>
        <v/>
      </c>
    </row>
    <row r="18">
      <c r="A18" s="8" t="n"/>
      <c r="B18" s="13" t="n"/>
      <c r="C18" s="13" t="n"/>
      <c r="D18" s="11" t="n"/>
      <c r="E18" s="7">
        <f>IF(A18="","",IF(OR(A18&lt;TaxStart,A18&gt;TaxEnd),"Outside tax year",IF(A18&lt;DATE(YEAR(TaxStart),7,6),"Q1",IF(A18&lt;DATE(YEAR(TaxStart),10,6),"Q2",IF(A18&lt;DATE(YEAR(TaxStart)+1,1,6),"Q3","Q4")))))</f>
        <v/>
      </c>
    </row>
    <row r="19">
      <c r="A19" s="8" t="n"/>
      <c r="B19" s="13" t="n"/>
      <c r="C19" s="13" t="n"/>
      <c r="D19" s="11" t="n"/>
      <c r="E19" s="7">
        <f>IF(A19="","",IF(OR(A19&lt;TaxStart,A19&gt;TaxEnd),"Outside tax year",IF(A19&lt;DATE(YEAR(TaxStart),7,6),"Q1",IF(A19&lt;DATE(YEAR(TaxStart),10,6),"Q2",IF(A19&lt;DATE(YEAR(TaxStart)+1,1,6),"Q3","Q4")))))</f>
        <v/>
      </c>
    </row>
    <row r="20">
      <c r="A20" s="8" t="n"/>
      <c r="B20" s="13" t="n"/>
      <c r="C20" s="13" t="n"/>
      <c r="D20" s="11" t="n"/>
      <c r="E20" s="7">
        <f>IF(A20="","",IF(OR(A20&lt;TaxStart,A20&gt;TaxEnd),"Outside tax year",IF(A20&lt;DATE(YEAR(TaxStart),7,6),"Q1",IF(A20&lt;DATE(YEAR(TaxStart),10,6),"Q2",IF(A20&lt;DATE(YEAR(TaxStart)+1,1,6),"Q3","Q4")))))</f>
        <v/>
      </c>
    </row>
    <row r="21">
      <c r="A21" s="8" t="n"/>
      <c r="B21" s="13" t="n"/>
      <c r="C21" s="13" t="n"/>
      <c r="D21" s="11" t="n"/>
      <c r="E21" s="7">
        <f>IF(A21="","",IF(OR(A21&lt;TaxStart,A21&gt;TaxEnd),"Outside tax year",IF(A21&lt;DATE(YEAR(TaxStart),7,6),"Q1",IF(A21&lt;DATE(YEAR(TaxStart),10,6),"Q2",IF(A21&lt;DATE(YEAR(TaxStart)+1,1,6),"Q3","Q4")))))</f>
        <v/>
      </c>
    </row>
    <row r="22">
      <c r="A22" s="8" t="n"/>
      <c r="B22" s="13" t="n"/>
      <c r="C22" s="13" t="n"/>
      <c r="D22" s="11" t="n"/>
      <c r="E22" s="7">
        <f>IF(A22="","",IF(OR(A22&lt;TaxStart,A22&gt;TaxEnd),"Outside tax year",IF(A22&lt;DATE(YEAR(TaxStart),7,6),"Q1",IF(A22&lt;DATE(YEAR(TaxStart),10,6),"Q2",IF(A22&lt;DATE(YEAR(TaxStart)+1,1,6),"Q3","Q4")))))</f>
        <v/>
      </c>
    </row>
    <row r="23">
      <c r="A23" s="8" t="n"/>
      <c r="B23" s="13" t="n"/>
      <c r="C23" s="13" t="n"/>
      <c r="D23" s="11" t="n"/>
      <c r="E23" s="7">
        <f>IF(A23="","",IF(OR(A23&lt;TaxStart,A23&gt;TaxEnd),"Outside tax year",IF(A23&lt;DATE(YEAR(TaxStart),7,6),"Q1",IF(A23&lt;DATE(YEAR(TaxStart),10,6),"Q2",IF(A23&lt;DATE(YEAR(TaxStart)+1,1,6),"Q3","Q4")))))</f>
        <v/>
      </c>
    </row>
    <row r="24">
      <c r="A24" s="8" t="n"/>
      <c r="B24" s="13" t="n"/>
      <c r="C24" s="13" t="n"/>
      <c r="D24" s="11" t="n"/>
      <c r="E24" s="7">
        <f>IF(A24="","",IF(OR(A24&lt;TaxStart,A24&gt;TaxEnd),"Outside tax year",IF(A24&lt;DATE(YEAR(TaxStart),7,6),"Q1",IF(A24&lt;DATE(YEAR(TaxStart),10,6),"Q2",IF(A24&lt;DATE(YEAR(TaxStart)+1,1,6),"Q3","Q4")))))</f>
        <v/>
      </c>
    </row>
    <row r="25">
      <c r="A25" s="8" t="n"/>
      <c r="B25" s="13" t="n"/>
      <c r="C25" s="13" t="n"/>
      <c r="D25" s="11" t="n"/>
      <c r="E25" s="7">
        <f>IF(A25="","",IF(OR(A25&lt;TaxStart,A25&gt;TaxEnd),"Outside tax year",IF(A25&lt;DATE(YEAR(TaxStart),7,6),"Q1",IF(A25&lt;DATE(YEAR(TaxStart),10,6),"Q2",IF(A25&lt;DATE(YEAR(TaxStart)+1,1,6),"Q3","Q4")))))</f>
        <v/>
      </c>
    </row>
    <row r="26">
      <c r="A26" s="8" t="n"/>
      <c r="B26" s="13" t="n"/>
      <c r="C26" s="13" t="n"/>
      <c r="D26" s="11" t="n"/>
      <c r="E26" s="7">
        <f>IF(A26="","",IF(OR(A26&lt;TaxStart,A26&gt;TaxEnd),"Outside tax year",IF(A26&lt;DATE(YEAR(TaxStart),7,6),"Q1",IF(A26&lt;DATE(YEAR(TaxStart),10,6),"Q2",IF(A26&lt;DATE(YEAR(TaxStart)+1,1,6),"Q3","Q4")))))</f>
        <v/>
      </c>
    </row>
    <row r="27">
      <c r="A27" s="8" t="n"/>
      <c r="B27" s="13" t="n"/>
      <c r="C27" s="13" t="n"/>
      <c r="D27" s="11" t="n"/>
      <c r="E27" s="7">
        <f>IF(A27="","",IF(OR(A27&lt;TaxStart,A27&gt;TaxEnd),"Outside tax year",IF(A27&lt;DATE(YEAR(TaxStart),7,6),"Q1",IF(A27&lt;DATE(YEAR(TaxStart),10,6),"Q2",IF(A27&lt;DATE(YEAR(TaxStart)+1,1,6),"Q3","Q4")))))</f>
        <v/>
      </c>
    </row>
    <row r="28">
      <c r="A28" s="8" t="n"/>
      <c r="B28" s="13" t="n"/>
      <c r="C28" s="13" t="n"/>
      <c r="D28" s="11" t="n"/>
      <c r="E28" s="7">
        <f>IF(A28="","",IF(OR(A28&lt;TaxStart,A28&gt;TaxEnd),"Outside tax year",IF(A28&lt;DATE(YEAR(TaxStart),7,6),"Q1",IF(A28&lt;DATE(YEAR(TaxStart),10,6),"Q2",IF(A28&lt;DATE(YEAR(TaxStart)+1,1,6),"Q3","Q4")))))</f>
        <v/>
      </c>
    </row>
    <row r="29">
      <c r="A29" s="8" t="n"/>
      <c r="B29" s="13" t="n"/>
      <c r="C29" s="13" t="n"/>
      <c r="D29" s="11" t="n"/>
      <c r="E29" s="7">
        <f>IF(A29="","",IF(OR(A29&lt;TaxStart,A29&gt;TaxEnd),"Outside tax year",IF(A29&lt;DATE(YEAR(TaxStart),7,6),"Q1",IF(A29&lt;DATE(YEAR(TaxStart),10,6),"Q2",IF(A29&lt;DATE(YEAR(TaxStart)+1,1,6),"Q3","Q4")))))</f>
        <v/>
      </c>
    </row>
    <row r="30">
      <c r="A30" s="8" t="n"/>
      <c r="B30" s="13" t="n"/>
      <c r="C30" s="13" t="n"/>
      <c r="D30" s="11" t="n"/>
      <c r="E30" s="7">
        <f>IF(A30="","",IF(OR(A30&lt;TaxStart,A30&gt;TaxEnd),"Outside tax year",IF(A30&lt;DATE(YEAR(TaxStart),7,6),"Q1",IF(A30&lt;DATE(YEAR(TaxStart),10,6),"Q2",IF(A30&lt;DATE(YEAR(TaxStart)+1,1,6),"Q3","Q4")))))</f>
        <v/>
      </c>
    </row>
    <row r="31">
      <c r="A31" s="8" t="n"/>
      <c r="B31" s="13" t="n"/>
      <c r="C31" s="13" t="n"/>
      <c r="D31" s="11" t="n"/>
      <c r="E31" s="7">
        <f>IF(A31="","",IF(OR(A31&lt;TaxStart,A31&gt;TaxEnd),"Outside tax year",IF(A31&lt;DATE(YEAR(TaxStart),7,6),"Q1",IF(A31&lt;DATE(YEAR(TaxStart),10,6),"Q2",IF(A31&lt;DATE(YEAR(TaxStart)+1,1,6),"Q3","Q4")))))</f>
        <v/>
      </c>
    </row>
    <row r="32">
      <c r="A32" s="8" t="n"/>
      <c r="B32" s="13" t="n"/>
      <c r="C32" s="13" t="n"/>
      <c r="D32" s="11" t="n"/>
      <c r="E32" s="7">
        <f>IF(A32="","",IF(OR(A32&lt;TaxStart,A32&gt;TaxEnd),"Outside tax year",IF(A32&lt;DATE(YEAR(TaxStart),7,6),"Q1",IF(A32&lt;DATE(YEAR(TaxStart),10,6),"Q2",IF(A32&lt;DATE(YEAR(TaxStart)+1,1,6),"Q3","Q4")))))</f>
        <v/>
      </c>
    </row>
    <row r="33">
      <c r="A33" s="8" t="n"/>
      <c r="B33" s="13" t="n"/>
      <c r="C33" s="13" t="n"/>
      <c r="D33" s="11" t="n"/>
      <c r="E33" s="7">
        <f>IF(A33="","",IF(OR(A33&lt;TaxStart,A33&gt;TaxEnd),"Outside tax year",IF(A33&lt;DATE(YEAR(TaxStart),7,6),"Q1",IF(A33&lt;DATE(YEAR(TaxStart),10,6),"Q2",IF(A33&lt;DATE(YEAR(TaxStart)+1,1,6),"Q3","Q4")))))</f>
        <v/>
      </c>
    </row>
    <row r="34">
      <c r="A34" s="8" t="n"/>
      <c r="B34" s="13" t="n"/>
      <c r="C34" s="13" t="n"/>
      <c r="D34" s="11" t="n"/>
      <c r="E34" s="7">
        <f>IF(A34="","",IF(OR(A34&lt;TaxStart,A34&gt;TaxEnd),"Outside tax year",IF(A34&lt;DATE(YEAR(TaxStart),7,6),"Q1",IF(A34&lt;DATE(YEAR(TaxStart),10,6),"Q2",IF(A34&lt;DATE(YEAR(TaxStart)+1,1,6),"Q3","Q4")))))</f>
        <v/>
      </c>
    </row>
    <row r="35">
      <c r="A35" s="8" t="n"/>
      <c r="B35" s="13" t="n"/>
      <c r="C35" s="13" t="n"/>
      <c r="D35" s="11" t="n"/>
      <c r="E35" s="7">
        <f>IF(A35="","",IF(OR(A35&lt;TaxStart,A35&gt;TaxEnd),"Outside tax year",IF(A35&lt;DATE(YEAR(TaxStart),7,6),"Q1",IF(A35&lt;DATE(YEAR(TaxStart),10,6),"Q2",IF(A35&lt;DATE(YEAR(TaxStart)+1,1,6),"Q3","Q4")))))</f>
        <v/>
      </c>
    </row>
    <row r="36">
      <c r="A36" s="8" t="n"/>
      <c r="B36" s="13" t="n"/>
      <c r="C36" s="13" t="n"/>
      <c r="D36" s="11" t="n"/>
      <c r="E36" s="7">
        <f>IF(A36="","",IF(OR(A36&lt;TaxStart,A36&gt;TaxEnd),"Outside tax year",IF(A36&lt;DATE(YEAR(TaxStart),7,6),"Q1",IF(A36&lt;DATE(YEAR(TaxStart),10,6),"Q2",IF(A36&lt;DATE(YEAR(TaxStart)+1,1,6),"Q3","Q4")))))</f>
        <v/>
      </c>
    </row>
    <row r="37">
      <c r="A37" s="8" t="n"/>
      <c r="B37" s="13" t="n"/>
      <c r="C37" s="13" t="n"/>
      <c r="D37" s="11" t="n"/>
      <c r="E37" s="7">
        <f>IF(A37="","",IF(OR(A37&lt;TaxStart,A37&gt;TaxEnd),"Outside tax year",IF(A37&lt;DATE(YEAR(TaxStart),7,6),"Q1",IF(A37&lt;DATE(YEAR(TaxStart),10,6),"Q2",IF(A37&lt;DATE(YEAR(TaxStart)+1,1,6),"Q3","Q4")))))</f>
        <v/>
      </c>
    </row>
    <row r="38">
      <c r="A38" s="8" t="n"/>
      <c r="B38" s="13" t="n"/>
      <c r="C38" s="13" t="n"/>
      <c r="D38" s="11" t="n"/>
      <c r="E38" s="7">
        <f>IF(A38="","",IF(OR(A38&lt;TaxStart,A38&gt;TaxEnd),"Outside tax year",IF(A38&lt;DATE(YEAR(TaxStart),7,6),"Q1",IF(A38&lt;DATE(YEAR(TaxStart),10,6),"Q2",IF(A38&lt;DATE(YEAR(TaxStart)+1,1,6),"Q3","Q4")))))</f>
        <v/>
      </c>
    </row>
    <row r="39">
      <c r="A39" s="8" t="n"/>
      <c r="B39" s="13" t="n"/>
      <c r="C39" s="13" t="n"/>
      <c r="D39" s="11" t="n"/>
      <c r="E39" s="7">
        <f>IF(A39="","",IF(OR(A39&lt;TaxStart,A39&gt;TaxEnd),"Outside tax year",IF(A39&lt;DATE(YEAR(TaxStart),7,6),"Q1",IF(A39&lt;DATE(YEAR(TaxStart),10,6),"Q2",IF(A39&lt;DATE(YEAR(TaxStart)+1,1,6),"Q3","Q4")))))</f>
        <v/>
      </c>
    </row>
    <row r="40">
      <c r="A40" s="8" t="n"/>
      <c r="B40" s="13" t="n"/>
      <c r="C40" s="13" t="n"/>
      <c r="D40" s="11" t="n"/>
      <c r="E40" s="7">
        <f>IF(A40="","",IF(OR(A40&lt;TaxStart,A40&gt;TaxEnd),"Outside tax year",IF(A40&lt;DATE(YEAR(TaxStart),7,6),"Q1",IF(A40&lt;DATE(YEAR(TaxStart),10,6),"Q2",IF(A40&lt;DATE(YEAR(TaxStart)+1,1,6),"Q3","Q4")))))</f>
        <v/>
      </c>
    </row>
    <row r="41">
      <c r="A41" s="8" t="n"/>
      <c r="B41" s="13" t="n"/>
      <c r="C41" s="13" t="n"/>
      <c r="D41" s="11" t="n"/>
      <c r="E41" s="7">
        <f>IF(A41="","",IF(OR(A41&lt;TaxStart,A41&gt;TaxEnd),"Outside tax year",IF(A41&lt;DATE(YEAR(TaxStart),7,6),"Q1",IF(A41&lt;DATE(YEAR(TaxStart),10,6),"Q2",IF(A41&lt;DATE(YEAR(TaxStart)+1,1,6),"Q3","Q4")))))</f>
        <v/>
      </c>
    </row>
    <row r="42">
      <c r="A42" s="8" t="n"/>
      <c r="B42" s="13" t="n"/>
      <c r="C42" s="13" t="n"/>
      <c r="D42" s="11" t="n"/>
      <c r="E42" s="7">
        <f>IF(A42="","",IF(OR(A42&lt;TaxStart,A42&gt;TaxEnd),"Outside tax year",IF(A42&lt;DATE(YEAR(TaxStart),7,6),"Q1",IF(A42&lt;DATE(YEAR(TaxStart),10,6),"Q2",IF(A42&lt;DATE(YEAR(TaxStart)+1,1,6),"Q3","Q4")))))</f>
        <v/>
      </c>
    </row>
    <row r="43">
      <c r="A43" s="8" t="n"/>
      <c r="B43" s="13" t="n"/>
      <c r="C43" s="13" t="n"/>
      <c r="D43" s="11" t="n"/>
      <c r="E43" s="7">
        <f>IF(A43="","",IF(OR(A43&lt;TaxStart,A43&gt;TaxEnd),"Outside tax year",IF(A43&lt;DATE(YEAR(TaxStart),7,6),"Q1",IF(A43&lt;DATE(YEAR(TaxStart),10,6),"Q2",IF(A43&lt;DATE(YEAR(TaxStart)+1,1,6),"Q3","Q4")))))</f>
        <v/>
      </c>
    </row>
    <row r="44">
      <c r="A44" s="8" t="n"/>
      <c r="B44" s="13" t="n"/>
      <c r="C44" s="13" t="n"/>
      <c r="D44" s="11" t="n"/>
      <c r="E44" s="7">
        <f>IF(A44="","",IF(OR(A44&lt;TaxStart,A44&gt;TaxEnd),"Outside tax year",IF(A44&lt;DATE(YEAR(TaxStart),7,6),"Q1",IF(A44&lt;DATE(YEAR(TaxStart),10,6),"Q2",IF(A44&lt;DATE(YEAR(TaxStart)+1,1,6),"Q3","Q4")))))</f>
        <v/>
      </c>
    </row>
    <row r="45">
      <c r="A45" s="8" t="n"/>
      <c r="B45" s="13" t="n"/>
      <c r="C45" s="13" t="n"/>
      <c r="D45" s="11" t="n"/>
      <c r="E45" s="7">
        <f>IF(A45="","",IF(OR(A45&lt;TaxStart,A45&gt;TaxEnd),"Outside tax year",IF(A45&lt;DATE(YEAR(TaxStart),7,6),"Q1",IF(A45&lt;DATE(YEAR(TaxStart),10,6),"Q2",IF(A45&lt;DATE(YEAR(TaxStart)+1,1,6),"Q3","Q4")))))</f>
        <v/>
      </c>
    </row>
    <row r="46">
      <c r="A46" s="8" t="n"/>
      <c r="B46" s="13" t="n"/>
      <c r="C46" s="13" t="n"/>
      <c r="D46" s="11" t="n"/>
      <c r="E46" s="7">
        <f>IF(A46="","",IF(OR(A46&lt;TaxStart,A46&gt;TaxEnd),"Outside tax year",IF(A46&lt;DATE(YEAR(TaxStart),7,6),"Q1",IF(A46&lt;DATE(YEAR(TaxStart),10,6),"Q2",IF(A46&lt;DATE(YEAR(TaxStart)+1,1,6),"Q3","Q4")))))</f>
        <v/>
      </c>
    </row>
    <row r="47">
      <c r="A47" s="8" t="n"/>
      <c r="B47" s="13" t="n"/>
      <c r="C47" s="13" t="n"/>
      <c r="D47" s="11" t="n"/>
      <c r="E47" s="7">
        <f>IF(A47="","",IF(OR(A47&lt;TaxStart,A47&gt;TaxEnd),"Outside tax year",IF(A47&lt;DATE(YEAR(TaxStart),7,6),"Q1",IF(A47&lt;DATE(YEAR(TaxStart),10,6),"Q2",IF(A47&lt;DATE(YEAR(TaxStart)+1,1,6),"Q3","Q4")))))</f>
        <v/>
      </c>
    </row>
    <row r="48">
      <c r="A48" s="8" t="n"/>
      <c r="B48" s="13" t="n"/>
      <c r="C48" s="13" t="n"/>
      <c r="D48" s="11" t="n"/>
      <c r="E48" s="7">
        <f>IF(A48="","",IF(OR(A48&lt;TaxStart,A48&gt;TaxEnd),"Outside tax year",IF(A48&lt;DATE(YEAR(TaxStart),7,6),"Q1",IF(A48&lt;DATE(YEAR(TaxStart),10,6),"Q2",IF(A48&lt;DATE(YEAR(TaxStart)+1,1,6),"Q3","Q4")))))</f>
        <v/>
      </c>
    </row>
    <row r="49">
      <c r="A49" s="8" t="n"/>
      <c r="B49" s="13" t="n"/>
      <c r="C49" s="13" t="n"/>
      <c r="D49" s="11" t="n"/>
      <c r="E49" s="7">
        <f>IF(A49="","",IF(OR(A49&lt;TaxStart,A49&gt;TaxEnd),"Outside tax year",IF(A49&lt;DATE(YEAR(TaxStart),7,6),"Q1",IF(A49&lt;DATE(YEAR(TaxStart),10,6),"Q2",IF(A49&lt;DATE(YEAR(TaxStart)+1,1,6),"Q3","Q4")))))</f>
        <v/>
      </c>
    </row>
    <row r="50">
      <c r="A50" s="8" t="n"/>
      <c r="B50" s="13" t="n"/>
      <c r="C50" s="13" t="n"/>
      <c r="D50" s="11" t="n"/>
      <c r="E50" s="7">
        <f>IF(A50="","",IF(OR(A50&lt;TaxStart,A50&gt;TaxEnd),"Outside tax year",IF(A50&lt;DATE(YEAR(TaxStart),7,6),"Q1",IF(A50&lt;DATE(YEAR(TaxStart),10,6),"Q2",IF(A50&lt;DATE(YEAR(TaxStart)+1,1,6),"Q3","Q4")))))</f>
        <v/>
      </c>
    </row>
    <row r="51">
      <c r="A51" s="8" t="n"/>
      <c r="B51" s="13" t="n"/>
      <c r="C51" s="13" t="n"/>
      <c r="D51" s="11" t="n"/>
      <c r="E51" s="7">
        <f>IF(A51="","",IF(OR(A51&lt;TaxStart,A51&gt;TaxEnd),"Outside tax year",IF(A51&lt;DATE(YEAR(TaxStart),7,6),"Q1",IF(A51&lt;DATE(YEAR(TaxStart),10,6),"Q2",IF(A51&lt;DATE(YEAR(TaxStart)+1,1,6),"Q3","Q4")))))</f>
        <v/>
      </c>
    </row>
    <row r="52">
      <c r="A52" s="8" t="n"/>
      <c r="B52" s="13" t="n"/>
      <c r="C52" s="13" t="n"/>
      <c r="D52" s="11" t="n"/>
      <c r="E52" s="7">
        <f>IF(A52="","",IF(OR(A52&lt;TaxStart,A52&gt;TaxEnd),"Outside tax year",IF(A52&lt;DATE(YEAR(TaxStart),7,6),"Q1",IF(A52&lt;DATE(YEAR(TaxStart),10,6),"Q2",IF(A52&lt;DATE(YEAR(TaxStart)+1,1,6),"Q3","Q4")))))</f>
        <v/>
      </c>
    </row>
    <row r="53">
      <c r="A53" s="8" t="n"/>
      <c r="B53" s="13" t="n"/>
      <c r="C53" s="13" t="n"/>
      <c r="D53" s="11" t="n"/>
      <c r="E53" s="7">
        <f>IF(A53="","",IF(OR(A53&lt;TaxStart,A53&gt;TaxEnd),"Outside tax year",IF(A53&lt;DATE(YEAR(TaxStart),7,6),"Q1",IF(A53&lt;DATE(YEAR(TaxStart),10,6),"Q2",IF(A53&lt;DATE(YEAR(TaxStart)+1,1,6),"Q3","Q4")))))</f>
        <v/>
      </c>
    </row>
    <row r="54">
      <c r="A54" s="8" t="n"/>
      <c r="B54" s="13" t="n"/>
      <c r="C54" s="13" t="n"/>
      <c r="D54" s="11" t="n"/>
      <c r="E54" s="7">
        <f>IF(A54="","",IF(OR(A54&lt;TaxStart,A54&gt;TaxEnd),"Outside tax year",IF(A54&lt;DATE(YEAR(TaxStart),7,6),"Q1",IF(A54&lt;DATE(YEAR(TaxStart),10,6),"Q2",IF(A54&lt;DATE(YEAR(TaxStart)+1,1,6),"Q3","Q4")))))</f>
        <v/>
      </c>
    </row>
    <row r="55">
      <c r="A55" s="8" t="n"/>
      <c r="B55" s="13" t="n"/>
      <c r="C55" s="13" t="n"/>
      <c r="D55" s="11" t="n"/>
      <c r="E55" s="7">
        <f>IF(A55="","",IF(OR(A55&lt;TaxStart,A55&gt;TaxEnd),"Outside tax year",IF(A55&lt;DATE(YEAR(TaxStart),7,6),"Q1",IF(A55&lt;DATE(YEAR(TaxStart),10,6),"Q2",IF(A55&lt;DATE(YEAR(TaxStart)+1,1,6),"Q3","Q4")))))</f>
        <v/>
      </c>
    </row>
    <row r="56">
      <c r="A56" s="8" t="n"/>
      <c r="B56" s="13" t="n"/>
      <c r="C56" s="13" t="n"/>
      <c r="D56" s="11" t="n"/>
      <c r="E56" s="7">
        <f>IF(A56="","",IF(OR(A56&lt;TaxStart,A56&gt;TaxEnd),"Outside tax year",IF(A56&lt;DATE(YEAR(TaxStart),7,6),"Q1",IF(A56&lt;DATE(YEAR(TaxStart),10,6),"Q2",IF(A56&lt;DATE(YEAR(TaxStart)+1,1,6),"Q3","Q4")))))</f>
        <v/>
      </c>
    </row>
    <row r="57">
      <c r="A57" s="8" t="n"/>
      <c r="B57" s="13" t="n"/>
      <c r="C57" s="13" t="n"/>
      <c r="D57" s="11" t="n"/>
      <c r="E57" s="7">
        <f>IF(A57="","",IF(OR(A57&lt;TaxStart,A57&gt;TaxEnd),"Outside tax year",IF(A57&lt;DATE(YEAR(TaxStart),7,6),"Q1",IF(A57&lt;DATE(YEAR(TaxStart),10,6),"Q2",IF(A57&lt;DATE(YEAR(TaxStart)+1,1,6),"Q3","Q4")))))</f>
        <v/>
      </c>
    </row>
    <row r="58">
      <c r="A58" s="8" t="n"/>
      <c r="B58" s="13" t="n"/>
      <c r="C58" s="13" t="n"/>
      <c r="D58" s="11" t="n"/>
      <c r="E58" s="7">
        <f>IF(A58="","",IF(OR(A58&lt;TaxStart,A58&gt;TaxEnd),"Outside tax year",IF(A58&lt;DATE(YEAR(TaxStart),7,6),"Q1",IF(A58&lt;DATE(YEAR(TaxStart),10,6),"Q2",IF(A58&lt;DATE(YEAR(TaxStart)+1,1,6),"Q3","Q4")))))</f>
        <v/>
      </c>
    </row>
    <row r="59">
      <c r="A59" s="8" t="n"/>
      <c r="B59" s="13" t="n"/>
      <c r="C59" s="13" t="n"/>
      <c r="D59" s="11" t="n"/>
      <c r="E59" s="7">
        <f>IF(A59="","",IF(OR(A59&lt;TaxStart,A59&gt;TaxEnd),"Outside tax year",IF(A59&lt;DATE(YEAR(TaxStart),7,6),"Q1",IF(A59&lt;DATE(YEAR(TaxStart),10,6),"Q2",IF(A59&lt;DATE(YEAR(TaxStart)+1,1,6),"Q3","Q4")))))</f>
        <v/>
      </c>
    </row>
    <row r="60">
      <c r="A60" s="8" t="n"/>
      <c r="B60" s="13" t="n"/>
      <c r="C60" s="13" t="n"/>
      <c r="D60" s="11" t="n"/>
      <c r="E60" s="7">
        <f>IF(A60="","",IF(OR(A60&lt;TaxStart,A60&gt;TaxEnd),"Outside tax year",IF(A60&lt;DATE(YEAR(TaxStart),7,6),"Q1",IF(A60&lt;DATE(YEAR(TaxStart),10,6),"Q2",IF(A60&lt;DATE(YEAR(TaxStart)+1,1,6),"Q3","Q4")))))</f>
        <v/>
      </c>
    </row>
    <row r="61">
      <c r="A61" s="8" t="n"/>
      <c r="B61" s="13" t="n"/>
      <c r="C61" s="13" t="n"/>
      <c r="D61" s="11" t="n"/>
      <c r="E61" s="7">
        <f>IF(A61="","",IF(OR(A61&lt;TaxStart,A61&gt;TaxEnd),"Outside tax year",IF(A61&lt;DATE(YEAR(TaxStart),7,6),"Q1",IF(A61&lt;DATE(YEAR(TaxStart),10,6),"Q2",IF(A61&lt;DATE(YEAR(TaxStart)+1,1,6),"Q3","Q4")))))</f>
        <v/>
      </c>
    </row>
    <row r="62">
      <c r="A62" s="8" t="n"/>
      <c r="B62" s="13" t="n"/>
      <c r="C62" s="13" t="n"/>
      <c r="D62" s="11" t="n"/>
      <c r="E62" s="7">
        <f>IF(A62="","",IF(OR(A62&lt;TaxStart,A62&gt;TaxEnd),"Outside tax year",IF(A62&lt;DATE(YEAR(TaxStart),7,6),"Q1",IF(A62&lt;DATE(YEAR(TaxStart),10,6),"Q2",IF(A62&lt;DATE(YEAR(TaxStart)+1,1,6),"Q3","Q4")))))</f>
        <v/>
      </c>
    </row>
    <row r="63">
      <c r="A63" s="8" t="n"/>
      <c r="B63" s="13" t="n"/>
      <c r="C63" s="13" t="n"/>
      <c r="D63" s="11" t="n"/>
      <c r="E63" s="7">
        <f>IF(A63="","",IF(OR(A63&lt;TaxStart,A63&gt;TaxEnd),"Outside tax year",IF(A63&lt;DATE(YEAR(TaxStart),7,6),"Q1",IF(A63&lt;DATE(YEAR(TaxStart),10,6),"Q2",IF(A63&lt;DATE(YEAR(TaxStart)+1,1,6),"Q3","Q4")))))</f>
        <v/>
      </c>
    </row>
    <row r="64">
      <c r="A64" s="8" t="n"/>
      <c r="B64" s="13" t="n"/>
      <c r="C64" s="13" t="n"/>
      <c r="D64" s="11" t="n"/>
      <c r="E64" s="7">
        <f>IF(A64="","",IF(OR(A64&lt;TaxStart,A64&gt;TaxEnd),"Outside tax year",IF(A64&lt;DATE(YEAR(TaxStart),7,6),"Q1",IF(A64&lt;DATE(YEAR(TaxStart),10,6),"Q2",IF(A64&lt;DATE(YEAR(TaxStart)+1,1,6),"Q3","Q4")))))</f>
        <v/>
      </c>
    </row>
    <row r="65">
      <c r="A65" s="8" t="n"/>
      <c r="B65" s="13" t="n"/>
      <c r="C65" s="13" t="n"/>
      <c r="D65" s="11" t="n"/>
      <c r="E65" s="7">
        <f>IF(A65="","",IF(OR(A65&lt;TaxStart,A65&gt;TaxEnd),"Outside tax year",IF(A65&lt;DATE(YEAR(TaxStart),7,6),"Q1",IF(A65&lt;DATE(YEAR(TaxStart),10,6),"Q2",IF(A65&lt;DATE(YEAR(TaxStart)+1,1,6),"Q3","Q4")))))</f>
        <v/>
      </c>
    </row>
    <row r="66">
      <c r="A66" s="8" t="n"/>
      <c r="B66" s="13" t="n"/>
      <c r="C66" s="13" t="n"/>
      <c r="D66" s="11" t="n"/>
      <c r="E66" s="7">
        <f>IF(A66="","",IF(OR(A66&lt;TaxStart,A66&gt;TaxEnd),"Outside tax year",IF(A66&lt;DATE(YEAR(TaxStart),7,6),"Q1",IF(A66&lt;DATE(YEAR(TaxStart),10,6),"Q2",IF(A66&lt;DATE(YEAR(TaxStart)+1,1,6),"Q3","Q4")))))</f>
        <v/>
      </c>
    </row>
    <row r="67">
      <c r="A67" s="8" t="n"/>
      <c r="B67" s="13" t="n"/>
      <c r="C67" s="13" t="n"/>
      <c r="D67" s="11" t="n"/>
      <c r="E67" s="7">
        <f>IF(A67="","",IF(OR(A67&lt;TaxStart,A67&gt;TaxEnd),"Outside tax year",IF(A67&lt;DATE(YEAR(TaxStart),7,6),"Q1",IF(A67&lt;DATE(YEAR(TaxStart),10,6),"Q2",IF(A67&lt;DATE(YEAR(TaxStart)+1,1,6),"Q3","Q4")))))</f>
        <v/>
      </c>
    </row>
    <row r="68">
      <c r="A68" s="8" t="n"/>
      <c r="B68" s="13" t="n"/>
      <c r="C68" s="13" t="n"/>
      <c r="D68" s="11" t="n"/>
      <c r="E68" s="7">
        <f>IF(A68="","",IF(OR(A68&lt;TaxStart,A68&gt;TaxEnd),"Outside tax year",IF(A68&lt;DATE(YEAR(TaxStart),7,6),"Q1",IF(A68&lt;DATE(YEAR(TaxStart),10,6),"Q2",IF(A68&lt;DATE(YEAR(TaxStart)+1,1,6),"Q3","Q4")))))</f>
        <v/>
      </c>
    </row>
    <row r="69">
      <c r="A69" s="8" t="n"/>
      <c r="B69" s="13" t="n"/>
      <c r="C69" s="13" t="n"/>
      <c r="D69" s="11" t="n"/>
      <c r="E69" s="7">
        <f>IF(A69="","",IF(OR(A69&lt;TaxStart,A69&gt;TaxEnd),"Outside tax year",IF(A69&lt;DATE(YEAR(TaxStart),7,6),"Q1",IF(A69&lt;DATE(YEAR(TaxStart),10,6),"Q2",IF(A69&lt;DATE(YEAR(TaxStart)+1,1,6),"Q3","Q4")))))</f>
        <v/>
      </c>
    </row>
    <row r="70">
      <c r="A70" s="8" t="n"/>
      <c r="B70" s="13" t="n"/>
      <c r="C70" s="13" t="n"/>
      <c r="D70" s="11" t="n"/>
      <c r="E70" s="7">
        <f>IF(A70="","",IF(OR(A70&lt;TaxStart,A70&gt;TaxEnd),"Outside tax year",IF(A70&lt;DATE(YEAR(TaxStart),7,6),"Q1",IF(A70&lt;DATE(YEAR(TaxStart),10,6),"Q2",IF(A70&lt;DATE(YEAR(TaxStart)+1,1,6),"Q3","Q4")))))</f>
        <v/>
      </c>
    </row>
    <row r="71">
      <c r="A71" s="8" t="n"/>
      <c r="B71" s="13" t="n"/>
      <c r="C71" s="13" t="n"/>
      <c r="D71" s="11" t="n"/>
      <c r="E71" s="7">
        <f>IF(A71="","",IF(OR(A71&lt;TaxStart,A71&gt;TaxEnd),"Outside tax year",IF(A71&lt;DATE(YEAR(TaxStart),7,6),"Q1",IF(A71&lt;DATE(YEAR(TaxStart),10,6),"Q2",IF(A71&lt;DATE(YEAR(TaxStart)+1,1,6),"Q3","Q4")))))</f>
        <v/>
      </c>
    </row>
    <row r="72">
      <c r="A72" s="8" t="n"/>
      <c r="B72" s="13" t="n"/>
      <c r="C72" s="13" t="n"/>
      <c r="D72" s="11" t="n"/>
      <c r="E72" s="7">
        <f>IF(A72="","",IF(OR(A72&lt;TaxStart,A72&gt;TaxEnd),"Outside tax year",IF(A72&lt;DATE(YEAR(TaxStart),7,6),"Q1",IF(A72&lt;DATE(YEAR(TaxStart),10,6),"Q2",IF(A72&lt;DATE(YEAR(TaxStart)+1,1,6),"Q3","Q4")))))</f>
        <v/>
      </c>
    </row>
    <row r="73">
      <c r="A73" s="8" t="n"/>
      <c r="B73" s="13" t="n"/>
      <c r="C73" s="13" t="n"/>
      <c r="D73" s="11" t="n"/>
      <c r="E73" s="7">
        <f>IF(A73="","",IF(OR(A73&lt;TaxStart,A73&gt;TaxEnd),"Outside tax year",IF(A73&lt;DATE(YEAR(TaxStart),7,6),"Q1",IF(A73&lt;DATE(YEAR(TaxStart),10,6),"Q2",IF(A73&lt;DATE(YEAR(TaxStart)+1,1,6),"Q3","Q4")))))</f>
        <v/>
      </c>
    </row>
    <row r="74">
      <c r="A74" s="8" t="n"/>
      <c r="B74" s="13" t="n"/>
      <c r="C74" s="13" t="n"/>
      <c r="D74" s="11" t="n"/>
      <c r="E74" s="7">
        <f>IF(A74="","",IF(OR(A74&lt;TaxStart,A74&gt;TaxEnd),"Outside tax year",IF(A74&lt;DATE(YEAR(TaxStart),7,6),"Q1",IF(A74&lt;DATE(YEAR(TaxStart),10,6),"Q2",IF(A74&lt;DATE(YEAR(TaxStart)+1,1,6),"Q3","Q4")))))</f>
        <v/>
      </c>
    </row>
    <row r="75">
      <c r="A75" s="8" t="n"/>
      <c r="B75" s="13" t="n"/>
      <c r="C75" s="13" t="n"/>
      <c r="D75" s="11" t="n"/>
      <c r="E75" s="7">
        <f>IF(A75="","",IF(OR(A75&lt;TaxStart,A75&gt;TaxEnd),"Outside tax year",IF(A75&lt;DATE(YEAR(TaxStart),7,6),"Q1",IF(A75&lt;DATE(YEAR(TaxStart),10,6),"Q2",IF(A75&lt;DATE(YEAR(TaxStart)+1,1,6),"Q3","Q4")))))</f>
        <v/>
      </c>
    </row>
    <row r="76">
      <c r="A76" s="8" t="n"/>
      <c r="B76" s="13" t="n"/>
      <c r="C76" s="13" t="n"/>
      <c r="D76" s="11" t="n"/>
      <c r="E76" s="7">
        <f>IF(A76="","",IF(OR(A76&lt;TaxStart,A76&gt;TaxEnd),"Outside tax year",IF(A76&lt;DATE(YEAR(TaxStart),7,6),"Q1",IF(A76&lt;DATE(YEAR(TaxStart),10,6),"Q2",IF(A76&lt;DATE(YEAR(TaxStart)+1,1,6),"Q3","Q4")))))</f>
        <v/>
      </c>
    </row>
    <row r="77">
      <c r="A77" s="8" t="n"/>
      <c r="B77" s="13" t="n"/>
      <c r="C77" s="13" t="n"/>
      <c r="D77" s="11" t="n"/>
      <c r="E77" s="7">
        <f>IF(A77="","",IF(OR(A77&lt;TaxStart,A77&gt;TaxEnd),"Outside tax year",IF(A77&lt;DATE(YEAR(TaxStart),7,6),"Q1",IF(A77&lt;DATE(YEAR(TaxStart),10,6),"Q2",IF(A77&lt;DATE(YEAR(TaxStart)+1,1,6),"Q3","Q4")))))</f>
        <v/>
      </c>
    </row>
    <row r="78">
      <c r="A78" s="8" t="n"/>
      <c r="B78" s="13" t="n"/>
      <c r="C78" s="13" t="n"/>
      <c r="D78" s="11" t="n"/>
      <c r="E78" s="7">
        <f>IF(A78="","",IF(OR(A78&lt;TaxStart,A78&gt;TaxEnd),"Outside tax year",IF(A78&lt;DATE(YEAR(TaxStart),7,6),"Q1",IF(A78&lt;DATE(YEAR(TaxStart),10,6),"Q2",IF(A78&lt;DATE(YEAR(TaxStart)+1,1,6),"Q3","Q4")))))</f>
        <v/>
      </c>
    </row>
    <row r="79">
      <c r="A79" s="8" t="n"/>
      <c r="B79" s="13" t="n"/>
      <c r="C79" s="13" t="n"/>
      <c r="D79" s="11" t="n"/>
      <c r="E79" s="7">
        <f>IF(A79="","",IF(OR(A79&lt;TaxStart,A79&gt;TaxEnd),"Outside tax year",IF(A79&lt;DATE(YEAR(TaxStart),7,6),"Q1",IF(A79&lt;DATE(YEAR(TaxStart),10,6),"Q2",IF(A79&lt;DATE(YEAR(TaxStart)+1,1,6),"Q3","Q4")))))</f>
        <v/>
      </c>
    </row>
    <row r="80">
      <c r="A80" s="8" t="n"/>
      <c r="B80" s="13" t="n"/>
      <c r="C80" s="13" t="n"/>
      <c r="D80" s="11" t="n"/>
      <c r="E80" s="7">
        <f>IF(A80="","",IF(OR(A80&lt;TaxStart,A80&gt;TaxEnd),"Outside tax year",IF(A80&lt;DATE(YEAR(TaxStart),7,6),"Q1",IF(A80&lt;DATE(YEAR(TaxStart),10,6),"Q2",IF(A80&lt;DATE(YEAR(TaxStart)+1,1,6),"Q3","Q4")))))</f>
        <v/>
      </c>
    </row>
    <row r="81">
      <c r="A81" s="8" t="n"/>
      <c r="B81" s="13" t="n"/>
      <c r="C81" s="13" t="n"/>
      <c r="D81" s="11" t="n"/>
      <c r="E81" s="7">
        <f>IF(A81="","",IF(OR(A81&lt;TaxStart,A81&gt;TaxEnd),"Outside tax year",IF(A81&lt;DATE(YEAR(TaxStart),7,6),"Q1",IF(A81&lt;DATE(YEAR(TaxStart),10,6),"Q2",IF(A81&lt;DATE(YEAR(TaxStart)+1,1,6),"Q3","Q4")))))</f>
        <v/>
      </c>
    </row>
    <row r="82">
      <c r="A82" s="8" t="n"/>
      <c r="B82" s="13" t="n"/>
      <c r="C82" s="13" t="n"/>
      <c r="D82" s="11" t="n"/>
      <c r="E82" s="7">
        <f>IF(A82="","",IF(OR(A82&lt;TaxStart,A82&gt;TaxEnd),"Outside tax year",IF(A82&lt;DATE(YEAR(TaxStart),7,6),"Q1",IF(A82&lt;DATE(YEAR(TaxStart),10,6),"Q2",IF(A82&lt;DATE(YEAR(TaxStart)+1,1,6),"Q3","Q4")))))</f>
        <v/>
      </c>
    </row>
    <row r="83">
      <c r="A83" s="8" t="n"/>
      <c r="B83" s="13" t="n"/>
      <c r="C83" s="13" t="n"/>
      <c r="D83" s="11" t="n"/>
      <c r="E83" s="7">
        <f>IF(A83="","",IF(OR(A83&lt;TaxStart,A83&gt;TaxEnd),"Outside tax year",IF(A83&lt;DATE(YEAR(TaxStart),7,6),"Q1",IF(A83&lt;DATE(YEAR(TaxStart),10,6),"Q2",IF(A83&lt;DATE(YEAR(TaxStart)+1,1,6),"Q3","Q4")))))</f>
        <v/>
      </c>
    </row>
    <row r="84">
      <c r="A84" s="8" t="n"/>
      <c r="B84" s="13" t="n"/>
      <c r="C84" s="13" t="n"/>
      <c r="D84" s="11" t="n"/>
      <c r="E84" s="7">
        <f>IF(A84="","",IF(OR(A84&lt;TaxStart,A84&gt;TaxEnd),"Outside tax year",IF(A84&lt;DATE(YEAR(TaxStart),7,6),"Q1",IF(A84&lt;DATE(YEAR(TaxStart),10,6),"Q2",IF(A84&lt;DATE(YEAR(TaxStart)+1,1,6),"Q3","Q4")))))</f>
        <v/>
      </c>
    </row>
    <row r="85">
      <c r="A85" s="8" t="n"/>
      <c r="B85" s="13" t="n"/>
      <c r="C85" s="13" t="n"/>
      <c r="D85" s="11" t="n"/>
      <c r="E85" s="7">
        <f>IF(A85="","",IF(OR(A85&lt;TaxStart,A85&gt;TaxEnd),"Outside tax year",IF(A85&lt;DATE(YEAR(TaxStart),7,6),"Q1",IF(A85&lt;DATE(YEAR(TaxStart),10,6),"Q2",IF(A85&lt;DATE(YEAR(TaxStart)+1,1,6),"Q3","Q4")))))</f>
        <v/>
      </c>
    </row>
    <row r="86">
      <c r="A86" s="8" t="n"/>
      <c r="B86" s="13" t="n"/>
      <c r="C86" s="13" t="n"/>
      <c r="D86" s="11" t="n"/>
      <c r="E86" s="7">
        <f>IF(A86="","",IF(OR(A86&lt;TaxStart,A86&gt;TaxEnd),"Outside tax year",IF(A86&lt;DATE(YEAR(TaxStart),7,6),"Q1",IF(A86&lt;DATE(YEAR(TaxStart),10,6),"Q2",IF(A86&lt;DATE(YEAR(TaxStart)+1,1,6),"Q3","Q4")))))</f>
        <v/>
      </c>
    </row>
    <row r="87">
      <c r="A87" s="8" t="n"/>
      <c r="B87" s="13" t="n"/>
      <c r="C87" s="13" t="n"/>
      <c r="D87" s="11" t="n"/>
      <c r="E87" s="7">
        <f>IF(A87="","",IF(OR(A87&lt;TaxStart,A87&gt;TaxEnd),"Outside tax year",IF(A87&lt;DATE(YEAR(TaxStart),7,6),"Q1",IF(A87&lt;DATE(YEAR(TaxStart),10,6),"Q2",IF(A87&lt;DATE(YEAR(TaxStart)+1,1,6),"Q3","Q4")))))</f>
        <v/>
      </c>
    </row>
    <row r="88">
      <c r="A88" s="8" t="n"/>
      <c r="B88" s="13" t="n"/>
      <c r="C88" s="13" t="n"/>
      <c r="D88" s="11" t="n"/>
      <c r="E88" s="7">
        <f>IF(A88="","",IF(OR(A88&lt;TaxStart,A88&gt;TaxEnd),"Outside tax year",IF(A88&lt;DATE(YEAR(TaxStart),7,6),"Q1",IF(A88&lt;DATE(YEAR(TaxStart),10,6),"Q2",IF(A88&lt;DATE(YEAR(TaxStart)+1,1,6),"Q3","Q4")))))</f>
        <v/>
      </c>
    </row>
    <row r="89">
      <c r="A89" s="8" t="n"/>
      <c r="B89" s="13" t="n"/>
      <c r="C89" s="13" t="n"/>
      <c r="D89" s="11" t="n"/>
      <c r="E89" s="7">
        <f>IF(A89="","",IF(OR(A89&lt;TaxStart,A89&gt;TaxEnd),"Outside tax year",IF(A89&lt;DATE(YEAR(TaxStart),7,6),"Q1",IF(A89&lt;DATE(YEAR(TaxStart),10,6),"Q2",IF(A89&lt;DATE(YEAR(TaxStart)+1,1,6),"Q3","Q4")))))</f>
        <v/>
      </c>
    </row>
    <row r="90">
      <c r="A90" s="8" t="n"/>
      <c r="B90" s="13" t="n"/>
      <c r="C90" s="13" t="n"/>
      <c r="D90" s="11" t="n"/>
      <c r="E90" s="7">
        <f>IF(A90="","",IF(OR(A90&lt;TaxStart,A90&gt;TaxEnd),"Outside tax year",IF(A90&lt;DATE(YEAR(TaxStart),7,6),"Q1",IF(A90&lt;DATE(YEAR(TaxStart),10,6),"Q2",IF(A90&lt;DATE(YEAR(TaxStart)+1,1,6),"Q3","Q4")))))</f>
        <v/>
      </c>
    </row>
    <row r="91">
      <c r="A91" s="8" t="n"/>
      <c r="B91" s="13" t="n"/>
      <c r="C91" s="13" t="n"/>
      <c r="D91" s="11" t="n"/>
      <c r="E91" s="7">
        <f>IF(A91="","",IF(OR(A91&lt;TaxStart,A91&gt;TaxEnd),"Outside tax year",IF(A91&lt;DATE(YEAR(TaxStart),7,6),"Q1",IF(A91&lt;DATE(YEAR(TaxStart),10,6),"Q2",IF(A91&lt;DATE(YEAR(TaxStart)+1,1,6),"Q3","Q4")))))</f>
        <v/>
      </c>
    </row>
    <row r="92">
      <c r="A92" s="8" t="n"/>
      <c r="B92" s="13" t="n"/>
      <c r="C92" s="13" t="n"/>
      <c r="D92" s="11" t="n"/>
      <c r="E92" s="7">
        <f>IF(A92="","",IF(OR(A92&lt;TaxStart,A92&gt;TaxEnd),"Outside tax year",IF(A92&lt;DATE(YEAR(TaxStart),7,6),"Q1",IF(A92&lt;DATE(YEAR(TaxStart),10,6),"Q2",IF(A92&lt;DATE(YEAR(TaxStart)+1,1,6),"Q3","Q4")))))</f>
        <v/>
      </c>
    </row>
    <row r="93">
      <c r="A93" s="8" t="n"/>
      <c r="B93" s="13" t="n"/>
      <c r="C93" s="13" t="n"/>
      <c r="D93" s="11" t="n"/>
      <c r="E93" s="7">
        <f>IF(A93="","",IF(OR(A93&lt;TaxStart,A93&gt;TaxEnd),"Outside tax year",IF(A93&lt;DATE(YEAR(TaxStart),7,6),"Q1",IF(A93&lt;DATE(YEAR(TaxStart),10,6),"Q2",IF(A93&lt;DATE(YEAR(TaxStart)+1,1,6),"Q3","Q4")))))</f>
        <v/>
      </c>
    </row>
    <row r="94">
      <c r="A94" s="8" t="n"/>
      <c r="B94" s="13" t="n"/>
      <c r="C94" s="13" t="n"/>
      <c r="D94" s="11" t="n"/>
      <c r="E94" s="7">
        <f>IF(A94="","",IF(OR(A94&lt;TaxStart,A94&gt;TaxEnd),"Outside tax year",IF(A94&lt;DATE(YEAR(TaxStart),7,6),"Q1",IF(A94&lt;DATE(YEAR(TaxStart),10,6),"Q2",IF(A94&lt;DATE(YEAR(TaxStart)+1,1,6),"Q3","Q4")))))</f>
        <v/>
      </c>
    </row>
    <row r="95">
      <c r="A95" s="8" t="n"/>
      <c r="B95" s="13" t="n"/>
      <c r="C95" s="13" t="n"/>
      <c r="D95" s="11" t="n"/>
      <c r="E95" s="7">
        <f>IF(A95="","",IF(OR(A95&lt;TaxStart,A95&gt;TaxEnd),"Outside tax year",IF(A95&lt;DATE(YEAR(TaxStart),7,6),"Q1",IF(A95&lt;DATE(YEAR(TaxStart),10,6),"Q2",IF(A95&lt;DATE(YEAR(TaxStart)+1,1,6),"Q3","Q4")))))</f>
        <v/>
      </c>
    </row>
    <row r="96">
      <c r="A96" s="8" t="n"/>
      <c r="B96" s="13" t="n"/>
      <c r="C96" s="13" t="n"/>
      <c r="D96" s="11" t="n"/>
      <c r="E96" s="7">
        <f>IF(A96="","",IF(OR(A96&lt;TaxStart,A96&gt;TaxEnd),"Outside tax year",IF(A96&lt;DATE(YEAR(TaxStart),7,6),"Q1",IF(A96&lt;DATE(YEAR(TaxStart),10,6),"Q2",IF(A96&lt;DATE(YEAR(TaxStart)+1,1,6),"Q3","Q4")))))</f>
        <v/>
      </c>
    </row>
    <row r="97">
      <c r="A97" s="8" t="n"/>
      <c r="B97" s="13" t="n"/>
      <c r="C97" s="13" t="n"/>
      <c r="D97" s="11" t="n"/>
      <c r="E97" s="7">
        <f>IF(A97="","",IF(OR(A97&lt;TaxStart,A97&gt;TaxEnd),"Outside tax year",IF(A97&lt;DATE(YEAR(TaxStart),7,6),"Q1",IF(A97&lt;DATE(YEAR(TaxStart),10,6),"Q2",IF(A97&lt;DATE(YEAR(TaxStart)+1,1,6),"Q3","Q4")))))</f>
        <v/>
      </c>
    </row>
    <row r="98">
      <c r="A98" s="8" t="n"/>
      <c r="B98" s="13" t="n"/>
      <c r="C98" s="13" t="n"/>
      <c r="D98" s="11" t="n"/>
      <c r="E98" s="7">
        <f>IF(A98="","",IF(OR(A98&lt;TaxStart,A98&gt;TaxEnd),"Outside tax year",IF(A98&lt;DATE(YEAR(TaxStart),7,6),"Q1",IF(A98&lt;DATE(YEAR(TaxStart),10,6),"Q2",IF(A98&lt;DATE(YEAR(TaxStart)+1,1,6),"Q3","Q4")))))</f>
        <v/>
      </c>
    </row>
    <row r="99">
      <c r="A99" s="8" t="n"/>
      <c r="B99" s="13" t="n"/>
      <c r="C99" s="13" t="n"/>
      <c r="D99" s="11" t="n"/>
      <c r="E99" s="7">
        <f>IF(A99="","",IF(OR(A99&lt;TaxStart,A99&gt;TaxEnd),"Outside tax year",IF(A99&lt;DATE(YEAR(TaxStart),7,6),"Q1",IF(A99&lt;DATE(YEAR(TaxStart),10,6),"Q2",IF(A99&lt;DATE(YEAR(TaxStart)+1,1,6),"Q3","Q4")))))</f>
        <v/>
      </c>
    </row>
    <row r="100">
      <c r="A100" s="8" t="n"/>
      <c r="B100" s="13" t="n"/>
      <c r="C100" s="13" t="n"/>
      <c r="D100" s="11" t="n"/>
      <c r="E100" s="7">
        <f>IF(A100="","",IF(OR(A100&lt;TaxStart,A100&gt;TaxEnd),"Outside tax year",IF(A100&lt;DATE(YEAR(TaxStart),7,6),"Q1",IF(A100&lt;DATE(YEAR(TaxStart),10,6),"Q2",IF(A100&lt;DATE(YEAR(TaxStart)+1,1,6),"Q3","Q4")))))</f>
        <v/>
      </c>
    </row>
    <row r="101">
      <c r="A101" s="8" t="n"/>
      <c r="B101" s="13" t="n"/>
      <c r="C101" s="13" t="n"/>
      <c r="D101" s="11" t="n"/>
      <c r="E101" s="7">
        <f>IF(A101="","",IF(OR(A101&lt;TaxStart,A101&gt;TaxEnd),"Outside tax year",IF(A101&lt;DATE(YEAR(TaxStart),7,6),"Q1",IF(A101&lt;DATE(YEAR(TaxStart),10,6),"Q2",IF(A101&lt;DATE(YEAR(TaxStart)+1,1,6),"Q3","Q4")))))</f>
        <v/>
      </c>
    </row>
    <row r="102">
      <c r="A102" s="8" t="n"/>
      <c r="B102" s="13" t="n"/>
      <c r="C102" s="13" t="n"/>
      <c r="D102" s="11" t="n"/>
      <c r="E102" s="7">
        <f>IF(A102="","",IF(OR(A102&lt;TaxStart,A102&gt;TaxEnd),"Outside tax year",IF(A102&lt;DATE(YEAR(TaxStart),7,6),"Q1",IF(A102&lt;DATE(YEAR(TaxStart),10,6),"Q2",IF(A102&lt;DATE(YEAR(TaxStart)+1,1,6),"Q3","Q4")))))</f>
        <v/>
      </c>
    </row>
    <row r="103">
      <c r="A103" s="8" t="n"/>
      <c r="B103" s="13" t="n"/>
      <c r="C103" s="13" t="n"/>
      <c r="D103" s="11" t="n"/>
      <c r="E103" s="7">
        <f>IF(A103="","",IF(OR(A103&lt;TaxStart,A103&gt;TaxEnd),"Outside tax year",IF(A103&lt;DATE(YEAR(TaxStart),7,6),"Q1",IF(A103&lt;DATE(YEAR(TaxStart),10,6),"Q2",IF(A103&lt;DATE(YEAR(TaxStart)+1,1,6),"Q3","Q4")))))</f>
        <v/>
      </c>
    </row>
    <row r="104">
      <c r="A104" s="8" t="n"/>
      <c r="B104" s="13" t="n"/>
      <c r="C104" s="13" t="n"/>
      <c r="D104" s="11" t="n"/>
      <c r="E104" s="7">
        <f>IF(A104="","",IF(OR(A104&lt;TaxStart,A104&gt;TaxEnd),"Outside tax year",IF(A104&lt;DATE(YEAR(TaxStart),7,6),"Q1",IF(A104&lt;DATE(YEAR(TaxStart),10,6),"Q2",IF(A104&lt;DATE(YEAR(TaxStart)+1,1,6),"Q3","Q4")))))</f>
        <v/>
      </c>
    </row>
    <row r="105">
      <c r="A105" s="8" t="n"/>
      <c r="B105" s="13" t="n"/>
      <c r="C105" s="13" t="n"/>
      <c r="D105" s="11" t="n"/>
      <c r="E105" s="7">
        <f>IF(A105="","",IF(OR(A105&lt;TaxStart,A105&gt;TaxEnd),"Outside tax year",IF(A105&lt;DATE(YEAR(TaxStart),7,6),"Q1",IF(A105&lt;DATE(YEAR(TaxStart),10,6),"Q2",IF(A105&lt;DATE(YEAR(TaxStart)+1,1,6),"Q3","Q4")))))</f>
        <v/>
      </c>
    </row>
    <row r="106">
      <c r="A106" s="8" t="n"/>
      <c r="B106" s="13" t="n"/>
      <c r="C106" s="13" t="n"/>
      <c r="D106" s="11" t="n"/>
      <c r="E106" s="7">
        <f>IF(A106="","",IF(OR(A106&lt;TaxStart,A106&gt;TaxEnd),"Outside tax year",IF(A106&lt;DATE(YEAR(TaxStart),7,6),"Q1",IF(A106&lt;DATE(YEAR(TaxStart),10,6),"Q2",IF(A106&lt;DATE(YEAR(TaxStart)+1,1,6),"Q3","Q4")))))</f>
        <v/>
      </c>
    </row>
    <row r="107">
      <c r="A107" s="8" t="n"/>
      <c r="B107" s="13" t="n"/>
      <c r="C107" s="13" t="n"/>
      <c r="D107" s="11" t="n"/>
      <c r="E107" s="7">
        <f>IF(A107="","",IF(OR(A107&lt;TaxStart,A107&gt;TaxEnd),"Outside tax year",IF(A107&lt;DATE(YEAR(TaxStart),7,6),"Q1",IF(A107&lt;DATE(YEAR(TaxStart),10,6),"Q2",IF(A107&lt;DATE(YEAR(TaxStart)+1,1,6),"Q3","Q4")))))</f>
        <v/>
      </c>
    </row>
    <row r="108">
      <c r="A108" s="8" t="n"/>
      <c r="B108" s="13" t="n"/>
      <c r="C108" s="13" t="n"/>
      <c r="D108" s="11" t="n"/>
      <c r="E108" s="7">
        <f>IF(A108="","",IF(OR(A108&lt;TaxStart,A108&gt;TaxEnd),"Outside tax year",IF(A108&lt;DATE(YEAR(TaxStart),7,6),"Q1",IF(A108&lt;DATE(YEAR(TaxStart),10,6),"Q2",IF(A108&lt;DATE(YEAR(TaxStart)+1,1,6),"Q3","Q4")))))</f>
        <v/>
      </c>
    </row>
    <row r="109">
      <c r="A109" s="8" t="n"/>
      <c r="B109" s="13" t="n"/>
      <c r="C109" s="13" t="n"/>
      <c r="D109" s="11" t="n"/>
      <c r="E109" s="7">
        <f>IF(A109="","",IF(OR(A109&lt;TaxStart,A109&gt;TaxEnd),"Outside tax year",IF(A109&lt;DATE(YEAR(TaxStart),7,6),"Q1",IF(A109&lt;DATE(YEAR(TaxStart),10,6),"Q2",IF(A109&lt;DATE(YEAR(TaxStart)+1,1,6),"Q3","Q4")))))</f>
        <v/>
      </c>
    </row>
    <row r="110">
      <c r="A110" s="8" t="n"/>
      <c r="B110" s="13" t="n"/>
      <c r="C110" s="13" t="n"/>
      <c r="D110" s="11" t="n"/>
      <c r="E110" s="7">
        <f>IF(A110="","",IF(OR(A110&lt;TaxStart,A110&gt;TaxEnd),"Outside tax year",IF(A110&lt;DATE(YEAR(TaxStart),7,6),"Q1",IF(A110&lt;DATE(YEAR(TaxStart),10,6),"Q2",IF(A110&lt;DATE(YEAR(TaxStart)+1,1,6),"Q3","Q4")))))</f>
        <v/>
      </c>
    </row>
    <row r="111">
      <c r="A111" s="8" t="n"/>
      <c r="B111" s="13" t="n"/>
      <c r="C111" s="13" t="n"/>
      <c r="D111" s="11" t="n"/>
      <c r="E111" s="7">
        <f>IF(A111="","",IF(OR(A111&lt;TaxStart,A111&gt;TaxEnd),"Outside tax year",IF(A111&lt;DATE(YEAR(TaxStart),7,6),"Q1",IF(A111&lt;DATE(YEAR(TaxStart),10,6),"Q2",IF(A111&lt;DATE(YEAR(TaxStart)+1,1,6),"Q3","Q4")))))</f>
        <v/>
      </c>
    </row>
    <row r="112">
      <c r="A112" s="8" t="n"/>
      <c r="B112" s="13" t="n"/>
      <c r="C112" s="13" t="n"/>
      <c r="D112" s="11" t="n"/>
      <c r="E112" s="7">
        <f>IF(A112="","",IF(OR(A112&lt;TaxStart,A112&gt;TaxEnd),"Outside tax year",IF(A112&lt;DATE(YEAR(TaxStart),7,6),"Q1",IF(A112&lt;DATE(YEAR(TaxStart),10,6),"Q2",IF(A112&lt;DATE(YEAR(TaxStart)+1,1,6),"Q3","Q4")))))</f>
        <v/>
      </c>
    </row>
    <row r="113">
      <c r="A113" s="8" t="n"/>
      <c r="B113" s="13" t="n"/>
      <c r="C113" s="13" t="n"/>
      <c r="D113" s="11" t="n"/>
      <c r="E113" s="7">
        <f>IF(A113="","",IF(OR(A113&lt;TaxStart,A113&gt;TaxEnd),"Outside tax year",IF(A113&lt;DATE(YEAR(TaxStart),7,6),"Q1",IF(A113&lt;DATE(YEAR(TaxStart),10,6),"Q2",IF(A113&lt;DATE(YEAR(TaxStart)+1,1,6),"Q3","Q4")))))</f>
        <v/>
      </c>
    </row>
    <row r="114">
      <c r="A114" s="8" t="n"/>
      <c r="B114" s="13" t="n"/>
      <c r="C114" s="13" t="n"/>
      <c r="D114" s="11" t="n"/>
      <c r="E114" s="7">
        <f>IF(A114="","",IF(OR(A114&lt;TaxStart,A114&gt;TaxEnd),"Outside tax year",IF(A114&lt;DATE(YEAR(TaxStart),7,6),"Q1",IF(A114&lt;DATE(YEAR(TaxStart),10,6),"Q2",IF(A114&lt;DATE(YEAR(TaxStart)+1,1,6),"Q3","Q4")))))</f>
        <v/>
      </c>
    </row>
    <row r="115">
      <c r="A115" s="8" t="n"/>
      <c r="B115" s="13" t="n"/>
      <c r="C115" s="13" t="n"/>
      <c r="D115" s="11" t="n"/>
      <c r="E115" s="7">
        <f>IF(A115="","",IF(OR(A115&lt;TaxStart,A115&gt;TaxEnd),"Outside tax year",IF(A115&lt;DATE(YEAR(TaxStart),7,6),"Q1",IF(A115&lt;DATE(YEAR(TaxStart),10,6),"Q2",IF(A115&lt;DATE(YEAR(TaxStart)+1,1,6),"Q3","Q4")))))</f>
        <v/>
      </c>
    </row>
    <row r="116">
      <c r="A116" s="8" t="n"/>
      <c r="B116" s="13" t="n"/>
      <c r="C116" s="13" t="n"/>
      <c r="D116" s="11" t="n"/>
      <c r="E116" s="7">
        <f>IF(A116="","",IF(OR(A116&lt;TaxStart,A116&gt;TaxEnd),"Outside tax year",IF(A116&lt;DATE(YEAR(TaxStart),7,6),"Q1",IF(A116&lt;DATE(YEAR(TaxStart),10,6),"Q2",IF(A116&lt;DATE(YEAR(TaxStart)+1,1,6),"Q3","Q4")))))</f>
        <v/>
      </c>
    </row>
    <row r="117">
      <c r="A117" s="8" t="n"/>
      <c r="B117" s="13" t="n"/>
      <c r="C117" s="13" t="n"/>
      <c r="D117" s="11" t="n"/>
      <c r="E117" s="7">
        <f>IF(A117="","",IF(OR(A117&lt;TaxStart,A117&gt;TaxEnd),"Outside tax year",IF(A117&lt;DATE(YEAR(TaxStart),7,6),"Q1",IF(A117&lt;DATE(YEAR(TaxStart),10,6),"Q2",IF(A117&lt;DATE(YEAR(TaxStart)+1,1,6),"Q3","Q4")))))</f>
        <v/>
      </c>
    </row>
    <row r="118">
      <c r="A118" s="8" t="n"/>
      <c r="B118" s="13" t="n"/>
      <c r="C118" s="13" t="n"/>
      <c r="D118" s="11" t="n"/>
      <c r="E118" s="7">
        <f>IF(A118="","",IF(OR(A118&lt;TaxStart,A118&gt;TaxEnd),"Outside tax year",IF(A118&lt;DATE(YEAR(TaxStart),7,6),"Q1",IF(A118&lt;DATE(YEAR(TaxStart),10,6),"Q2",IF(A118&lt;DATE(YEAR(TaxStart)+1,1,6),"Q3","Q4")))))</f>
        <v/>
      </c>
    </row>
    <row r="119">
      <c r="A119" s="8" t="n"/>
      <c r="B119" s="13" t="n"/>
      <c r="C119" s="13" t="n"/>
      <c r="D119" s="11" t="n"/>
      <c r="E119" s="7">
        <f>IF(A119="","",IF(OR(A119&lt;TaxStart,A119&gt;TaxEnd),"Outside tax year",IF(A119&lt;DATE(YEAR(TaxStart),7,6),"Q1",IF(A119&lt;DATE(YEAR(TaxStart),10,6),"Q2",IF(A119&lt;DATE(YEAR(TaxStart)+1,1,6),"Q3","Q4")))))</f>
        <v/>
      </c>
    </row>
    <row r="120">
      <c r="A120" s="8" t="n"/>
      <c r="B120" s="13" t="n"/>
      <c r="C120" s="13" t="n"/>
      <c r="D120" s="11" t="n"/>
      <c r="E120" s="7">
        <f>IF(A120="","",IF(OR(A120&lt;TaxStart,A120&gt;TaxEnd),"Outside tax year",IF(A120&lt;DATE(YEAR(TaxStart),7,6),"Q1",IF(A120&lt;DATE(YEAR(TaxStart),10,6),"Q2",IF(A120&lt;DATE(YEAR(TaxStart)+1,1,6),"Q3","Q4")))))</f>
        <v/>
      </c>
    </row>
    <row r="121">
      <c r="A121" s="8" t="n"/>
      <c r="B121" s="13" t="n"/>
      <c r="C121" s="13" t="n"/>
      <c r="D121" s="11" t="n"/>
      <c r="E121" s="7">
        <f>IF(A121="","",IF(OR(A121&lt;TaxStart,A121&gt;TaxEnd),"Outside tax year",IF(A121&lt;DATE(YEAR(TaxStart),7,6),"Q1",IF(A121&lt;DATE(YEAR(TaxStart),10,6),"Q2",IF(A121&lt;DATE(YEAR(TaxStart)+1,1,6),"Q3","Q4")))))</f>
        <v/>
      </c>
    </row>
    <row r="122">
      <c r="A122" s="8" t="n"/>
      <c r="B122" s="13" t="n"/>
      <c r="C122" s="13" t="n"/>
      <c r="D122" s="11" t="n"/>
      <c r="E122" s="7">
        <f>IF(A122="","",IF(OR(A122&lt;TaxStart,A122&gt;TaxEnd),"Outside tax year",IF(A122&lt;DATE(YEAR(TaxStart),7,6),"Q1",IF(A122&lt;DATE(YEAR(TaxStart),10,6),"Q2",IF(A122&lt;DATE(YEAR(TaxStart)+1,1,6),"Q3","Q4")))))</f>
        <v/>
      </c>
    </row>
    <row r="123">
      <c r="A123" s="8" t="n"/>
      <c r="B123" s="13" t="n"/>
      <c r="C123" s="13" t="n"/>
      <c r="D123" s="11" t="n"/>
      <c r="E123" s="7">
        <f>IF(A123="","",IF(OR(A123&lt;TaxStart,A123&gt;TaxEnd),"Outside tax year",IF(A123&lt;DATE(YEAR(TaxStart),7,6),"Q1",IF(A123&lt;DATE(YEAR(TaxStart),10,6),"Q2",IF(A123&lt;DATE(YEAR(TaxStart)+1,1,6),"Q3","Q4")))))</f>
        <v/>
      </c>
    </row>
    <row r="124">
      <c r="A124" s="8" t="n"/>
      <c r="B124" s="13" t="n"/>
      <c r="C124" s="13" t="n"/>
      <c r="D124" s="11" t="n"/>
      <c r="E124" s="7">
        <f>IF(A124="","",IF(OR(A124&lt;TaxStart,A124&gt;TaxEnd),"Outside tax year",IF(A124&lt;DATE(YEAR(TaxStart),7,6),"Q1",IF(A124&lt;DATE(YEAR(TaxStart),10,6),"Q2",IF(A124&lt;DATE(YEAR(TaxStart)+1,1,6),"Q3","Q4")))))</f>
        <v/>
      </c>
    </row>
    <row r="125">
      <c r="A125" s="8" t="n"/>
      <c r="B125" s="13" t="n"/>
      <c r="C125" s="13" t="n"/>
      <c r="D125" s="11" t="n"/>
      <c r="E125" s="7">
        <f>IF(A125="","",IF(OR(A125&lt;TaxStart,A125&gt;TaxEnd),"Outside tax year",IF(A125&lt;DATE(YEAR(TaxStart),7,6),"Q1",IF(A125&lt;DATE(YEAR(TaxStart),10,6),"Q2",IF(A125&lt;DATE(YEAR(TaxStart)+1,1,6),"Q3","Q4")))))</f>
        <v/>
      </c>
    </row>
    <row r="126">
      <c r="A126" s="8" t="n"/>
      <c r="B126" s="13" t="n"/>
      <c r="C126" s="13" t="n"/>
      <c r="D126" s="11" t="n"/>
      <c r="E126" s="7">
        <f>IF(A126="","",IF(OR(A126&lt;TaxStart,A126&gt;TaxEnd),"Outside tax year",IF(A126&lt;DATE(YEAR(TaxStart),7,6),"Q1",IF(A126&lt;DATE(YEAR(TaxStart),10,6),"Q2",IF(A126&lt;DATE(YEAR(TaxStart)+1,1,6),"Q3","Q4")))))</f>
        <v/>
      </c>
    </row>
    <row r="127">
      <c r="A127" s="8" t="n"/>
      <c r="B127" s="13" t="n"/>
      <c r="C127" s="13" t="n"/>
      <c r="D127" s="11" t="n"/>
      <c r="E127" s="7">
        <f>IF(A127="","",IF(OR(A127&lt;TaxStart,A127&gt;TaxEnd),"Outside tax year",IF(A127&lt;DATE(YEAR(TaxStart),7,6),"Q1",IF(A127&lt;DATE(YEAR(TaxStart),10,6),"Q2",IF(A127&lt;DATE(YEAR(TaxStart)+1,1,6),"Q3","Q4")))))</f>
        <v/>
      </c>
    </row>
    <row r="128">
      <c r="A128" s="8" t="n"/>
      <c r="B128" s="13" t="n"/>
      <c r="C128" s="13" t="n"/>
      <c r="D128" s="11" t="n"/>
      <c r="E128" s="7">
        <f>IF(A128="","",IF(OR(A128&lt;TaxStart,A128&gt;TaxEnd),"Outside tax year",IF(A128&lt;DATE(YEAR(TaxStart),7,6),"Q1",IF(A128&lt;DATE(YEAR(TaxStart),10,6),"Q2",IF(A128&lt;DATE(YEAR(TaxStart)+1,1,6),"Q3","Q4")))))</f>
        <v/>
      </c>
    </row>
    <row r="129">
      <c r="A129" s="8" t="n"/>
      <c r="B129" s="13" t="n"/>
      <c r="C129" s="13" t="n"/>
      <c r="D129" s="11" t="n"/>
      <c r="E129" s="7">
        <f>IF(A129="","",IF(OR(A129&lt;TaxStart,A129&gt;TaxEnd),"Outside tax year",IF(A129&lt;DATE(YEAR(TaxStart),7,6),"Q1",IF(A129&lt;DATE(YEAR(TaxStart),10,6),"Q2",IF(A129&lt;DATE(YEAR(TaxStart)+1,1,6),"Q3","Q4")))))</f>
        <v/>
      </c>
    </row>
    <row r="130">
      <c r="A130" s="8" t="n"/>
      <c r="B130" s="13" t="n"/>
      <c r="C130" s="13" t="n"/>
      <c r="D130" s="11" t="n"/>
      <c r="E130" s="7">
        <f>IF(A130="","",IF(OR(A130&lt;TaxStart,A130&gt;TaxEnd),"Outside tax year",IF(A130&lt;DATE(YEAR(TaxStart),7,6),"Q1",IF(A130&lt;DATE(YEAR(TaxStart),10,6),"Q2",IF(A130&lt;DATE(YEAR(TaxStart)+1,1,6),"Q3","Q4")))))</f>
        <v/>
      </c>
    </row>
    <row r="131">
      <c r="A131" s="8" t="n"/>
      <c r="B131" s="13" t="n"/>
      <c r="C131" s="13" t="n"/>
      <c r="D131" s="11" t="n"/>
      <c r="E131" s="7">
        <f>IF(A131="","",IF(OR(A131&lt;TaxStart,A131&gt;TaxEnd),"Outside tax year",IF(A131&lt;DATE(YEAR(TaxStart),7,6),"Q1",IF(A131&lt;DATE(YEAR(TaxStart),10,6),"Q2",IF(A131&lt;DATE(YEAR(TaxStart)+1,1,6),"Q3","Q4")))))</f>
        <v/>
      </c>
    </row>
    <row r="132">
      <c r="A132" s="8" t="n"/>
      <c r="B132" s="13" t="n"/>
      <c r="C132" s="13" t="n"/>
      <c r="D132" s="11" t="n"/>
      <c r="E132" s="7">
        <f>IF(A132="","",IF(OR(A132&lt;TaxStart,A132&gt;TaxEnd),"Outside tax year",IF(A132&lt;DATE(YEAR(TaxStart),7,6),"Q1",IF(A132&lt;DATE(YEAR(TaxStart),10,6),"Q2",IF(A132&lt;DATE(YEAR(TaxStart)+1,1,6),"Q3","Q4")))))</f>
        <v/>
      </c>
    </row>
    <row r="133">
      <c r="A133" s="8" t="n"/>
      <c r="B133" s="13" t="n"/>
      <c r="C133" s="13" t="n"/>
      <c r="D133" s="11" t="n"/>
      <c r="E133" s="7">
        <f>IF(A133="","",IF(OR(A133&lt;TaxStart,A133&gt;TaxEnd),"Outside tax year",IF(A133&lt;DATE(YEAR(TaxStart),7,6),"Q1",IF(A133&lt;DATE(YEAR(TaxStart),10,6),"Q2",IF(A133&lt;DATE(YEAR(TaxStart)+1,1,6),"Q3","Q4")))))</f>
        <v/>
      </c>
    </row>
    <row r="134">
      <c r="A134" s="8" t="n"/>
      <c r="B134" s="13" t="n"/>
      <c r="C134" s="13" t="n"/>
      <c r="D134" s="11" t="n"/>
      <c r="E134" s="7">
        <f>IF(A134="","",IF(OR(A134&lt;TaxStart,A134&gt;TaxEnd),"Outside tax year",IF(A134&lt;DATE(YEAR(TaxStart),7,6),"Q1",IF(A134&lt;DATE(YEAR(TaxStart),10,6),"Q2",IF(A134&lt;DATE(YEAR(TaxStart)+1,1,6),"Q3","Q4")))))</f>
        <v/>
      </c>
    </row>
    <row r="135">
      <c r="A135" s="8" t="n"/>
      <c r="B135" s="13" t="n"/>
      <c r="C135" s="13" t="n"/>
      <c r="D135" s="11" t="n"/>
      <c r="E135" s="7">
        <f>IF(A135="","",IF(OR(A135&lt;TaxStart,A135&gt;TaxEnd),"Outside tax year",IF(A135&lt;DATE(YEAR(TaxStart),7,6),"Q1",IF(A135&lt;DATE(YEAR(TaxStart),10,6),"Q2",IF(A135&lt;DATE(YEAR(TaxStart)+1,1,6),"Q3","Q4")))))</f>
        <v/>
      </c>
    </row>
    <row r="136">
      <c r="A136" s="8" t="n"/>
      <c r="B136" s="13" t="n"/>
      <c r="C136" s="13" t="n"/>
      <c r="D136" s="11" t="n"/>
      <c r="E136" s="7">
        <f>IF(A136="","",IF(OR(A136&lt;TaxStart,A136&gt;TaxEnd),"Outside tax year",IF(A136&lt;DATE(YEAR(TaxStart),7,6),"Q1",IF(A136&lt;DATE(YEAR(TaxStart),10,6),"Q2",IF(A136&lt;DATE(YEAR(TaxStart)+1,1,6),"Q3","Q4")))))</f>
        <v/>
      </c>
    </row>
    <row r="137">
      <c r="A137" s="8" t="n"/>
      <c r="B137" s="13" t="n"/>
      <c r="C137" s="13" t="n"/>
      <c r="D137" s="11" t="n"/>
      <c r="E137" s="7">
        <f>IF(A137="","",IF(OR(A137&lt;TaxStart,A137&gt;TaxEnd),"Outside tax year",IF(A137&lt;DATE(YEAR(TaxStart),7,6),"Q1",IF(A137&lt;DATE(YEAR(TaxStart),10,6),"Q2",IF(A137&lt;DATE(YEAR(TaxStart)+1,1,6),"Q3","Q4")))))</f>
        <v/>
      </c>
    </row>
    <row r="138">
      <c r="A138" s="8" t="n"/>
      <c r="B138" s="13" t="n"/>
      <c r="C138" s="13" t="n"/>
      <c r="D138" s="11" t="n"/>
      <c r="E138" s="7">
        <f>IF(A138="","",IF(OR(A138&lt;TaxStart,A138&gt;TaxEnd),"Outside tax year",IF(A138&lt;DATE(YEAR(TaxStart),7,6),"Q1",IF(A138&lt;DATE(YEAR(TaxStart),10,6),"Q2",IF(A138&lt;DATE(YEAR(TaxStart)+1,1,6),"Q3","Q4")))))</f>
        <v/>
      </c>
    </row>
    <row r="139">
      <c r="A139" s="8" t="n"/>
      <c r="B139" s="13" t="n"/>
      <c r="C139" s="13" t="n"/>
      <c r="D139" s="11" t="n"/>
      <c r="E139" s="7">
        <f>IF(A139="","",IF(OR(A139&lt;TaxStart,A139&gt;TaxEnd),"Outside tax year",IF(A139&lt;DATE(YEAR(TaxStart),7,6),"Q1",IF(A139&lt;DATE(YEAR(TaxStart),10,6),"Q2",IF(A139&lt;DATE(YEAR(TaxStart)+1,1,6),"Q3","Q4")))))</f>
        <v/>
      </c>
    </row>
    <row r="140">
      <c r="A140" s="8" t="n"/>
      <c r="B140" s="13" t="n"/>
      <c r="C140" s="13" t="n"/>
      <c r="D140" s="11" t="n"/>
      <c r="E140" s="7">
        <f>IF(A140="","",IF(OR(A140&lt;TaxStart,A140&gt;TaxEnd),"Outside tax year",IF(A140&lt;DATE(YEAR(TaxStart),7,6),"Q1",IF(A140&lt;DATE(YEAR(TaxStart),10,6),"Q2",IF(A140&lt;DATE(YEAR(TaxStart)+1,1,6),"Q3","Q4")))))</f>
        <v/>
      </c>
    </row>
    <row r="141">
      <c r="A141" s="8" t="n"/>
      <c r="B141" s="13" t="n"/>
      <c r="C141" s="13" t="n"/>
      <c r="D141" s="11" t="n"/>
      <c r="E141" s="7">
        <f>IF(A141="","",IF(OR(A141&lt;TaxStart,A141&gt;TaxEnd),"Outside tax year",IF(A141&lt;DATE(YEAR(TaxStart),7,6),"Q1",IF(A141&lt;DATE(YEAR(TaxStart),10,6),"Q2",IF(A141&lt;DATE(YEAR(TaxStart)+1,1,6),"Q3","Q4")))))</f>
        <v/>
      </c>
    </row>
    <row r="142">
      <c r="A142" s="8" t="n"/>
      <c r="B142" s="13" t="n"/>
      <c r="C142" s="13" t="n"/>
      <c r="D142" s="11" t="n"/>
      <c r="E142" s="7">
        <f>IF(A142="","",IF(OR(A142&lt;TaxStart,A142&gt;TaxEnd),"Outside tax year",IF(A142&lt;DATE(YEAR(TaxStart),7,6),"Q1",IF(A142&lt;DATE(YEAR(TaxStart),10,6),"Q2",IF(A142&lt;DATE(YEAR(TaxStart)+1,1,6),"Q3","Q4")))))</f>
        <v/>
      </c>
    </row>
    <row r="143">
      <c r="A143" s="8" t="n"/>
      <c r="B143" s="13" t="n"/>
      <c r="C143" s="13" t="n"/>
      <c r="D143" s="11" t="n"/>
      <c r="E143" s="7">
        <f>IF(A143="","",IF(OR(A143&lt;TaxStart,A143&gt;TaxEnd),"Outside tax year",IF(A143&lt;DATE(YEAR(TaxStart),7,6),"Q1",IF(A143&lt;DATE(YEAR(TaxStart),10,6),"Q2",IF(A143&lt;DATE(YEAR(TaxStart)+1,1,6),"Q3","Q4")))))</f>
        <v/>
      </c>
    </row>
    <row r="144">
      <c r="A144" s="8" t="n"/>
      <c r="B144" s="13" t="n"/>
      <c r="C144" s="13" t="n"/>
      <c r="D144" s="11" t="n"/>
      <c r="E144" s="7">
        <f>IF(A144="","",IF(OR(A144&lt;TaxStart,A144&gt;TaxEnd),"Outside tax year",IF(A144&lt;DATE(YEAR(TaxStart),7,6),"Q1",IF(A144&lt;DATE(YEAR(TaxStart),10,6),"Q2",IF(A144&lt;DATE(YEAR(TaxStart)+1,1,6),"Q3","Q4")))))</f>
        <v/>
      </c>
    </row>
    <row r="145">
      <c r="A145" s="8" t="n"/>
      <c r="B145" s="13" t="n"/>
      <c r="C145" s="13" t="n"/>
      <c r="D145" s="11" t="n"/>
      <c r="E145" s="7">
        <f>IF(A145="","",IF(OR(A145&lt;TaxStart,A145&gt;TaxEnd),"Outside tax year",IF(A145&lt;DATE(YEAR(TaxStart),7,6),"Q1",IF(A145&lt;DATE(YEAR(TaxStart),10,6),"Q2",IF(A145&lt;DATE(YEAR(TaxStart)+1,1,6),"Q3","Q4")))))</f>
        <v/>
      </c>
    </row>
    <row r="146">
      <c r="A146" s="8" t="n"/>
      <c r="B146" s="13" t="n"/>
      <c r="C146" s="13" t="n"/>
      <c r="D146" s="11" t="n"/>
      <c r="E146" s="7">
        <f>IF(A146="","",IF(OR(A146&lt;TaxStart,A146&gt;TaxEnd),"Outside tax year",IF(A146&lt;DATE(YEAR(TaxStart),7,6),"Q1",IF(A146&lt;DATE(YEAR(TaxStart),10,6),"Q2",IF(A146&lt;DATE(YEAR(TaxStart)+1,1,6),"Q3","Q4")))))</f>
        <v/>
      </c>
    </row>
    <row r="147">
      <c r="A147" s="8" t="n"/>
      <c r="B147" s="13" t="n"/>
      <c r="C147" s="13" t="n"/>
      <c r="D147" s="11" t="n"/>
      <c r="E147" s="7">
        <f>IF(A147="","",IF(OR(A147&lt;TaxStart,A147&gt;TaxEnd),"Outside tax year",IF(A147&lt;DATE(YEAR(TaxStart),7,6),"Q1",IF(A147&lt;DATE(YEAR(TaxStart),10,6),"Q2",IF(A147&lt;DATE(YEAR(TaxStart)+1,1,6),"Q3","Q4")))))</f>
        <v/>
      </c>
    </row>
    <row r="148">
      <c r="A148" s="8" t="n"/>
      <c r="B148" s="13" t="n"/>
      <c r="C148" s="13" t="n"/>
      <c r="D148" s="11" t="n"/>
      <c r="E148" s="7">
        <f>IF(A148="","",IF(OR(A148&lt;TaxStart,A148&gt;TaxEnd),"Outside tax year",IF(A148&lt;DATE(YEAR(TaxStart),7,6),"Q1",IF(A148&lt;DATE(YEAR(TaxStart),10,6),"Q2",IF(A148&lt;DATE(YEAR(TaxStart)+1,1,6),"Q3","Q4")))))</f>
        <v/>
      </c>
    </row>
    <row r="149">
      <c r="A149" s="8" t="n"/>
      <c r="B149" s="13" t="n"/>
      <c r="C149" s="13" t="n"/>
      <c r="D149" s="11" t="n"/>
      <c r="E149" s="7">
        <f>IF(A149="","",IF(OR(A149&lt;TaxStart,A149&gt;TaxEnd),"Outside tax year",IF(A149&lt;DATE(YEAR(TaxStart),7,6),"Q1",IF(A149&lt;DATE(YEAR(TaxStart),10,6),"Q2",IF(A149&lt;DATE(YEAR(TaxStart)+1,1,6),"Q3","Q4")))))</f>
        <v/>
      </c>
    </row>
    <row r="150">
      <c r="A150" s="8" t="n"/>
      <c r="B150" s="13" t="n"/>
      <c r="C150" s="13" t="n"/>
      <c r="D150" s="11" t="n"/>
      <c r="E150" s="7">
        <f>IF(A150="","",IF(OR(A150&lt;TaxStart,A150&gt;TaxEnd),"Outside tax year",IF(A150&lt;DATE(YEAR(TaxStart),7,6),"Q1",IF(A150&lt;DATE(YEAR(TaxStart),10,6),"Q2",IF(A150&lt;DATE(YEAR(TaxStart)+1,1,6),"Q3","Q4")))))</f>
        <v/>
      </c>
    </row>
    <row r="151">
      <c r="A151" s="8" t="n"/>
      <c r="B151" s="13" t="n"/>
      <c r="C151" s="13" t="n"/>
      <c r="D151" s="11" t="n"/>
      <c r="E151" s="7">
        <f>IF(A151="","",IF(OR(A151&lt;TaxStart,A151&gt;TaxEnd),"Outside tax year",IF(A151&lt;DATE(YEAR(TaxStart),7,6),"Q1",IF(A151&lt;DATE(YEAR(TaxStart),10,6),"Q2",IF(A151&lt;DATE(YEAR(TaxStart)+1,1,6),"Q3","Q4")))))</f>
        <v/>
      </c>
    </row>
    <row r="152">
      <c r="A152" s="8" t="n"/>
      <c r="B152" s="13" t="n"/>
      <c r="C152" s="13" t="n"/>
      <c r="D152" s="11" t="n"/>
      <c r="E152" s="7">
        <f>IF(A152="","",IF(OR(A152&lt;TaxStart,A152&gt;TaxEnd),"Outside tax year",IF(A152&lt;DATE(YEAR(TaxStart),7,6),"Q1",IF(A152&lt;DATE(YEAR(TaxStart),10,6),"Q2",IF(A152&lt;DATE(YEAR(TaxStart)+1,1,6),"Q3","Q4")))))</f>
        <v/>
      </c>
    </row>
    <row r="153">
      <c r="A153" s="8" t="n"/>
      <c r="B153" s="13" t="n"/>
      <c r="C153" s="13" t="n"/>
      <c r="D153" s="11" t="n"/>
      <c r="E153" s="7">
        <f>IF(A153="","",IF(OR(A153&lt;TaxStart,A153&gt;TaxEnd),"Outside tax year",IF(A153&lt;DATE(YEAR(TaxStart),7,6),"Q1",IF(A153&lt;DATE(YEAR(TaxStart),10,6),"Q2",IF(A153&lt;DATE(YEAR(TaxStart)+1,1,6),"Q3","Q4")))))</f>
        <v/>
      </c>
    </row>
    <row r="154">
      <c r="A154" s="8" t="n"/>
      <c r="B154" s="13" t="n"/>
      <c r="C154" s="13" t="n"/>
      <c r="D154" s="11" t="n"/>
      <c r="E154" s="7">
        <f>IF(A154="","",IF(OR(A154&lt;TaxStart,A154&gt;TaxEnd),"Outside tax year",IF(A154&lt;DATE(YEAR(TaxStart),7,6),"Q1",IF(A154&lt;DATE(YEAR(TaxStart),10,6),"Q2",IF(A154&lt;DATE(YEAR(TaxStart)+1,1,6),"Q3","Q4")))))</f>
        <v/>
      </c>
    </row>
    <row r="155">
      <c r="A155" s="8" t="n"/>
      <c r="B155" s="13" t="n"/>
      <c r="C155" s="13" t="n"/>
      <c r="D155" s="11" t="n"/>
      <c r="E155" s="7">
        <f>IF(A155="","",IF(OR(A155&lt;TaxStart,A155&gt;TaxEnd),"Outside tax year",IF(A155&lt;DATE(YEAR(TaxStart),7,6),"Q1",IF(A155&lt;DATE(YEAR(TaxStart),10,6),"Q2",IF(A155&lt;DATE(YEAR(TaxStart)+1,1,6),"Q3","Q4")))))</f>
        <v/>
      </c>
    </row>
    <row r="156">
      <c r="A156" s="8" t="n"/>
      <c r="B156" s="13" t="n"/>
      <c r="C156" s="13" t="n"/>
      <c r="D156" s="11" t="n"/>
      <c r="E156" s="7">
        <f>IF(A156="","",IF(OR(A156&lt;TaxStart,A156&gt;TaxEnd),"Outside tax year",IF(A156&lt;DATE(YEAR(TaxStart),7,6),"Q1",IF(A156&lt;DATE(YEAR(TaxStart),10,6),"Q2",IF(A156&lt;DATE(YEAR(TaxStart)+1,1,6),"Q3","Q4")))))</f>
        <v/>
      </c>
    </row>
    <row r="157">
      <c r="A157" s="8" t="n"/>
      <c r="B157" s="13" t="n"/>
      <c r="C157" s="13" t="n"/>
      <c r="D157" s="11" t="n"/>
      <c r="E157" s="7">
        <f>IF(A157="","",IF(OR(A157&lt;TaxStart,A157&gt;TaxEnd),"Outside tax year",IF(A157&lt;DATE(YEAR(TaxStart),7,6),"Q1",IF(A157&lt;DATE(YEAR(TaxStart),10,6),"Q2",IF(A157&lt;DATE(YEAR(TaxStart)+1,1,6),"Q3","Q4")))))</f>
        <v/>
      </c>
    </row>
    <row r="158">
      <c r="A158" s="8" t="n"/>
      <c r="B158" s="13" t="n"/>
      <c r="C158" s="13" t="n"/>
      <c r="D158" s="11" t="n"/>
      <c r="E158" s="7">
        <f>IF(A158="","",IF(OR(A158&lt;TaxStart,A158&gt;TaxEnd),"Outside tax year",IF(A158&lt;DATE(YEAR(TaxStart),7,6),"Q1",IF(A158&lt;DATE(YEAR(TaxStart),10,6),"Q2",IF(A158&lt;DATE(YEAR(TaxStart)+1,1,6),"Q3","Q4")))))</f>
        <v/>
      </c>
    </row>
    <row r="159">
      <c r="A159" s="8" t="n"/>
      <c r="B159" s="13" t="n"/>
      <c r="C159" s="13" t="n"/>
      <c r="D159" s="11" t="n"/>
      <c r="E159" s="7">
        <f>IF(A159="","",IF(OR(A159&lt;TaxStart,A159&gt;TaxEnd),"Outside tax year",IF(A159&lt;DATE(YEAR(TaxStart),7,6),"Q1",IF(A159&lt;DATE(YEAR(TaxStart),10,6),"Q2",IF(A159&lt;DATE(YEAR(TaxStart)+1,1,6),"Q3","Q4")))))</f>
        <v/>
      </c>
    </row>
    <row r="160">
      <c r="A160" s="8" t="n"/>
      <c r="B160" s="13" t="n"/>
      <c r="C160" s="13" t="n"/>
      <c r="D160" s="11" t="n"/>
      <c r="E160" s="7">
        <f>IF(A160="","",IF(OR(A160&lt;TaxStart,A160&gt;TaxEnd),"Outside tax year",IF(A160&lt;DATE(YEAR(TaxStart),7,6),"Q1",IF(A160&lt;DATE(YEAR(TaxStart),10,6),"Q2",IF(A160&lt;DATE(YEAR(TaxStart)+1,1,6),"Q3","Q4")))))</f>
        <v/>
      </c>
    </row>
    <row r="161">
      <c r="A161" s="8" t="n"/>
      <c r="B161" s="13" t="n"/>
      <c r="C161" s="13" t="n"/>
      <c r="D161" s="11" t="n"/>
      <c r="E161" s="7">
        <f>IF(A161="","",IF(OR(A161&lt;TaxStart,A161&gt;TaxEnd),"Outside tax year",IF(A161&lt;DATE(YEAR(TaxStart),7,6),"Q1",IF(A161&lt;DATE(YEAR(TaxStart),10,6),"Q2",IF(A161&lt;DATE(YEAR(TaxStart)+1,1,6),"Q3","Q4")))))</f>
        <v/>
      </c>
    </row>
    <row r="162">
      <c r="A162" s="8" t="n"/>
      <c r="B162" s="13" t="n"/>
      <c r="C162" s="13" t="n"/>
      <c r="D162" s="11" t="n"/>
      <c r="E162" s="7">
        <f>IF(A162="","",IF(OR(A162&lt;TaxStart,A162&gt;TaxEnd),"Outside tax year",IF(A162&lt;DATE(YEAR(TaxStart),7,6),"Q1",IF(A162&lt;DATE(YEAR(TaxStart),10,6),"Q2",IF(A162&lt;DATE(YEAR(TaxStart)+1,1,6),"Q3","Q4")))))</f>
        <v/>
      </c>
    </row>
    <row r="163">
      <c r="A163" s="8" t="n"/>
      <c r="B163" s="13" t="n"/>
      <c r="C163" s="13" t="n"/>
      <c r="D163" s="11" t="n"/>
      <c r="E163" s="7">
        <f>IF(A163="","",IF(OR(A163&lt;TaxStart,A163&gt;TaxEnd),"Outside tax year",IF(A163&lt;DATE(YEAR(TaxStart),7,6),"Q1",IF(A163&lt;DATE(YEAR(TaxStart),10,6),"Q2",IF(A163&lt;DATE(YEAR(TaxStart)+1,1,6),"Q3","Q4")))))</f>
        <v/>
      </c>
    </row>
    <row r="164">
      <c r="A164" s="8" t="n"/>
      <c r="B164" s="13" t="n"/>
      <c r="C164" s="13" t="n"/>
      <c r="D164" s="11" t="n"/>
      <c r="E164" s="7">
        <f>IF(A164="","",IF(OR(A164&lt;TaxStart,A164&gt;TaxEnd),"Outside tax year",IF(A164&lt;DATE(YEAR(TaxStart),7,6),"Q1",IF(A164&lt;DATE(YEAR(TaxStart),10,6),"Q2",IF(A164&lt;DATE(YEAR(TaxStart)+1,1,6),"Q3","Q4")))))</f>
        <v/>
      </c>
    </row>
    <row r="165">
      <c r="A165" s="8" t="n"/>
      <c r="B165" s="13" t="n"/>
      <c r="C165" s="13" t="n"/>
      <c r="D165" s="11" t="n"/>
      <c r="E165" s="7">
        <f>IF(A165="","",IF(OR(A165&lt;TaxStart,A165&gt;TaxEnd),"Outside tax year",IF(A165&lt;DATE(YEAR(TaxStart),7,6),"Q1",IF(A165&lt;DATE(YEAR(TaxStart),10,6),"Q2",IF(A165&lt;DATE(YEAR(TaxStart)+1,1,6),"Q3","Q4")))))</f>
        <v/>
      </c>
    </row>
    <row r="166">
      <c r="A166" s="8" t="n"/>
      <c r="B166" s="13" t="n"/>
      <c r="C166" s="13" t="n"/>
      <c r="D166" s="11" t="n"/>
      <c r="E166" s="7">
        <f>IF(A166="","",IF(OR(A166&lt;TaxStart,A166&gt;TaxEnd),"Outside tax year",IF(A166&lt;DATE(YEAR(TaxStart),7,6),"Q1",IF(A166&lt;DATE(YEAR(TaxStart),10,6),"Q2",IF(A166&lt;DATE(YEAR(TaxStart)+1,1,6),"Q3","Q4")))))</f>
        <v/>
      </c>
    </row>
    <row r="167">
      <c r="A167" s="8" t="n"/>
      <c r="B167" s="13" t="n"/>
      <c r="C167" s="13" t="n"/>
      <c r="D167" s="11" t="n"/>
      <c r="E167" s="7">
        <f>IF(A167="","",IF(OR(A167&lt;TaxStart,A167&gt;TaxEnd),"Outside tax year",IF(A167&lt;DATE(YEAR(TaxStart),7,6),"Q1",IF(A167&lt;DATE(YEAR(TaxStart),10,6),"Q2",IF(A167&lt;DATE(YEAR(TaxStart)+1,1,6),"Q3","Q4")))))</f>
        <v/>
      </c>
    </row>
    <row r="168">
      <c r="A168" s="8" t="n"/>
      <c r="B168" s="13" t="n"/>
      <c r="C168" s="13" t="n"/>
      <c r="D168" s="11" t="n"/>
      <c r="E168" s="7">
        <f>IF(A168="","",IF(OR(A168&lt;TaxStart,A168&gt;TaxEnd),"Outside tax year",IF(A168&lt;DATE(YEAR(TaxStart),7,6),"Q1",IF(A168&lt;DATE(YEAR(TaxStart),10,6),"Q2",IF(A168&lt;DATE(YEAR(TaxStart)+1,1,6),"Q3","Q4")))))</f>
        <v/>
      </c>
    </row>
    <row r="169">
      <c r="A169" s="8" t="n"/>
      <c r="B169" s="13" t="n"/>
      <c r="C169" s="13" t="n"/>
      <c r="D169" s="11" t="n"/>
      <c r="E169" s="7">
        <f>IF(A169="","",IF(OR(A169&lt;TaxStart,A169&gt;TaxEnd),"Outside tax year",IF(A169&lt;DATE(YEAR(TaxStart),7,6),"Q1",IF(A169&lt;DATE(YEAR(TaxStart),10,6),"Q2",IF(A169&lt;DATE(YEAR(TaxStart)+1,1,6),"Q3","Q4")))))</f>
        <v/>
      </c>
    </row>
    <row r="170">
      <c r="A170" s="8" t="n"/>
      <c r="B170" s="13" t="n"/>
      <c r="C170" s="13" t="n"/>
      <c r="D170" s="11" t="n"/>
      <c r="E170" s="7">
        <f>IF(A170="","",IF(OR(A170&lt;TaxStart,A170&gt;TaxEnd),"Outside tax year",IF(A170&lt;DATE(YEAR(TaxStart),7,6),"Q1",IF(A170&lt;DATE(YEAR(TaxStart),10,6),"Q2",IF(A170&lt;DATE(YEAR(TaxStart)+1,1,6),"Q3","Q4")))))</f>
        <v/>
      </c>
    </row>
    <row r="171">
      <c r="A171" s="8" t="n"/>
      <c r="B171" s="13" t="n"/>
      <c r="C171" s="13" t="n"/>
      <c r="D171" s="11" t="n"/>
      <c r="E171" s="7">
        <f>IF(A171="","",IF(OR(A171&lt;TaxStart,A171&gt;TaxEnd),"Outside tax year",IF(A171&lt;DATE(YEAR(TaxStart),7,6),"Q1",IF(A171&lt;DATE(YEAR(TaxStart),10,6),"Q2",IF(A171&lt;DATE(YEAR(TaxStart)+1,1,6),"Q3","Q4")))))</f>
        <v/>
      </c>
    </row>
    <row r="172">
      <c r="A172" s="8" t="n"/>
      <c r="B172" s="13" t="n"/>
      <c r="C172" s="13" t="n"/>
      <c r="D172" s="11" t="n"/>
      <c r="E172" s="7">
        <f>IF(A172="","",IF(OR(A172&lt;TaxStart,A172&gt;TaxEnd),"Outside tax year",IF(A172&lt;DATE(YEAR(TaxStart),7,6),"Q1",IF(A172&lt;DATE(YEAR(TaxStart),10,6),"Q2",IF(A172&lt;DATE(YEAR(TaxStart)+1,1,6),"Q3","Q4")))))</f>
        <v/>
      </c>
    </row>
    <row r="173">
      <c r="A173" s="8" t="n"/>
      <c r="B173" s="13" t="n"/>
      <c r="C173" s="13" t="n"/>
      <c r="D173" s="11" t="n"/>
      <c r="E173" s="7">
        <f>IF(A173="","",IF(OR(A173&lt;TaxStart,A173&gt;TaxEnd),"Outside tax year",IF(A173&lt;DATE(YEAR(TaxStart),7,6),"Q1",IF(A173&lt;DATE(YEAR(TaxStart),10,6),"Q2",IF(A173&lt;DATE(YEAR(TaxStart)+1,1,6),"Q3","Q4")))))</f>
        <v/>
      </c>
    </row>
    <row r="174">
      <c r="A174" s="8" t="n"/>
      <c r="B174" s="13" t="n"/>
      <c r="C174" s="13" t="n"/>
      <c r="D174" s="11" t="n"/>
      <c r="E174" s="7">
        <f>IF(A174="","",IF(OR(A174&lt;TaxStart,A174&gt;TaxEnd),"Outside tax year",IF(A174&lt;DATE(YEAR(TaxStart),7,6),"Q1",IF(A174&lt;DATE(YEAR(TaxStart),10,6),"Q2",IF(A174&lt;DATE(YEAR(TaxStart)+1,1,6),"Q3","Q4")))))</f>
        <v/>
      </c>
    </row>
    <row r="175">
      <c r="A175" s="8" t="n"/>
      <c r="B175" s="13" t="n"/>
      <c r="C175" s="13" t="n"/>
      <c r="D175" s="11" t="n"/>
      <c r="E175" s="7">
        <f>IF(A175="","",IF(OR(A175&lt;TaxStart,A175&gt;TaxEnd),"Outside tax year",IF(A175&lt;DATE(YEAR(TaxStart),7,6),"Q1",IF(A175&lt;DATE(YEAR(TaxStart),10,6),"Q2",IF(A175&lt;DATE(YEAR(TaxStart)+1,1,6),"Q3","Q4")))))</f>
        <v/>
      </c>
    </row>
    <row r="176">
      <c r="A176" s="8" t="n"/>
      <c r="B176" s="13" t="n"/>
      <c r="C176" s="13" t="n"/>
      <c r="D176" s="11" t="n"/>
      <c r="E176" s="7">
        <f>IF(A176="","",IF(OR(A176&lt;TaxStart,A176&gt;TaxEnd),"Outside tax year",IF(A176&lt;DATE(YEAR(TaxStart),7,6),"Q1",IF(A176&lt;DATE(YEAR(TaxStart),10,6),"Q2",IF(A176&lt;DATE(YEAR(TaxStart)+1,1,6),"Q3","Q4")))))</f>
        <v/>
      </c>
    </row>
    <row r="177">
      <c r="A177" s="8" t="n"/>
      <c r="B177" s="13" t="n"/>
      <c r="C177" s="13" t="n"/>
      <c r="D177" s="11" t="n"/>
      <c r="E177" s="7">
        <f>IF(A177="","",IF(OR(A177&lt;TaxStart,A177&gt;TaxEnd),"Outside tax year",IF(A177&lt;DATE(YEAR(TaxStart),7,6),"Q1",IF(A177&lt;DATE(YEAR(TaxStart),10,6),"Q2",IF(A177&lt;DATE(YEAR(TaxStart)+1,1,6),"Q3","Q4")))))</f>
        <v/>
      </c>
    </row>
    <row r="178">
      <c r="A178" s="8" t="n"/>
      <c r="B178" s="13" t="n"/>
      <c r="C178" s="13" t="n"/>
      <c r="D178" s="11" t="n"/>
      <c r="E178" s="7">
        <f>IF(A178="","",IF(OR(A178&lt;TaxStart,A178&gt;TaxEnd),"Outside tax year",IF(A178&lt;DATE(YEAR(TaxStart),7,6),"Q1",IF(A178&lt;DATE(YEAR(TaxStart),10,6),"Q2",IF(A178&lt;DATE(YEAR(TaxStart)+1,1,6),"Q3","Q4")))))</f>
        <v/>
      </c>
    </row>
    <row r="179">
      <c r="A179" s="8" t="n"/>
      <c r="B179" s="13" t="n"/>
      <c r="C179" s="13" t="n"/>
      <c r="D179" s="11" t="n"/>
      <c r="E179" s="7">
        <f>IF(A179="","",IF(OR(A179&lt;TaxStart,A179&gt;TaxEnd),"Outside tax year",IF(A179&lt;DATE(YEAR(TaxStart),7,6),"Q1",IF(A179&lt;DATE(YEAR(TaxStart),10,6),"Q2",IF(A179&lt;DATE(YEAR(TaxStart)+1,1,6),"Q3","Q4")))))</f>
        <v/>
      </c>
    </row>
    <row r="180">
      <c r="A180" s="8" t="n"/>
      <c r="B180" s="13" t="n"/>
      <c r="C180" s="13" t="n"/>
      <c r="D180" s="11" t="n"/>
      <c r="E180" s="7">
        <f>IF(A180="","",IF(OR(A180&lt;TaxStart,A180&gt;TaxEnd),"Outside tax year",IF(A180&lt;DATE(YEAR(TaxStart),7,6),"Q1",IF(A180&lt;DATE(YEAR(TaxStart),10,6),"Q2",IF(A180&lt;DATE(YEAR(TaxStart)+1,1,6),"Q3","Q4")))))</f>
        <v/>
      </c>
    </row>
    <row r="181">
      <c r="A181" s="8" t="n"/>
      <c r="B181" s="13" t="n"/>
      <c r="C181" s="13" t="n"/>
      <c r="D181" s="11" t="n"/>
      <c r="E181" s="7">
        <f>IF(A181="","",IF(OR(A181&lt;TaxStart,A181&gt;TaxEnd),"Outside tax year",IF(A181&lt;DATE(YEAR(TaxStart),7,6),"Q1",IF(A181&lt;DATE(YEAR(TaxStart),10,6),"Q2",IF(A181&lt;DATE(YEAR(TaxStart)+1,1,6),"Q3","Q4")))))</f>
        <v/>
      </c>
    </row>
    <row r="182">
      <c r="A182" s="8" t="n"/>
      <c r="B182" s="13" t="n"/>
      <c r="C182" s="13" t="n"/>
      <c r="D182" s="11" t="n"/>
      <c r="E182" s="7">
        <f>IF(A182="","",IF(OR(A182&lt;TaxStart,A182&gt;TaxEnd),"Outside tax year",IF(A182&lt;DATE(YEAR(TaxStart),7,6),"Q1",IF(A182&lt;DATE(YEAR(TaxStart),10,6),"Q2",IF(A182&lt;DATE(YEAR(TaxStart)+1,1,6),"Q3","Q4")))))</f>
        <v/>
      </c>
    </row>
    <row r="183">
      <c r="A183" s="8" t="n"/>
      <c r="B183" s="13" t="n"/>
      <c r="C183" s="13" t="n"/>
      <c r="D183" s="11" t="n"/>
      <c r="E183" s="7">
        <f>IF(A183="","",IF(OR(A183&lt;TaxStart,A183&gt;TaxEnd),"Outside tax year",IF(A183&lt;DATE(YEAR(TaxStart),7,6),"Q1",IF(A183&lt;DATE(YEAR(TaxStart),10,6),"Q2",IF(A183&lt;DATE(YEAR(TaxStart)+1,1,6),"Q3","Q4")))))</f>
        <v/>
      </c>
    </row>
    <row r="184">
      <c r="A184" s="8" t="n"/>
      <c r="B184" s="13" t="n"/>
      <c r="C184" s="13" t="n"/>
      <c r="D184" s="11" t="n"/>
      <c r="E184" s="7">
        <f>IF(A184="","",IF(OR(A184&lt;TaxStart,A184&gt;TaxEnd),"Outside tax year",IF(A184&lt;DATE(YEAR(TaxStart),7,6),"Q1",IF(A184&lt;DATE(YEAR(TaxStart),10,6),"Q2",IF(A184&lt;DATE(YEAR(TaxStart)+1,1,6),"Q3","Q4")))))</f>
        <v/>
      </c>
    </row>
    <row r="185">
      <c r="A185" s="8" t="n"/>
      <c r="B185" s="13" t="n"/>
      <c r="C185" s="13" t="n"/>
      <c r="D185" s="11" t="n"/>
      <c r="E185" s="7">
        <f>IF(A185="","",IF(OR(A185&lt;TaxStart,A185&gt;TaxEnd),"Outside tax year",IF(A185&lt;DATE(YEAR(TaxStart),7,6),"Q1",IF(A185&lt;DATE(YEAR(TaxStart),10,6),"Q2",IF(A185&lt;DATE(YEAR(TaxStart)+1,1,6),"Q3","Q4")))))</f>
        <v/>
      </c>
    </row>
    <row r="186">
      <c r="A186" s="8" t="n"/>
      <c r="B186" s="13" t="n"/>
      <c r="C186" s="13" t="n"/>
      <c r="D186" s="11" t="n"/>
      <c r="E186" s="7">
        <f>IF(A186="","",IF(OR(A186&lt;TaxStart,A186&gt;TaxEnd),"Outside tax year",IF(A186&lt;DATE(YEAR(TaxStart),7,6),"Q1",IF(A186&lt;DATE(YEAR(TaxStart),10,6),"Q2",IF(A186&lt;DATE(YEAR(TaxStart)+1,1,6),"Q3","Q4")))))</f>
        <v/>
      </c>
    </row>
    <row r="187">
      <c r="A187" s="8" t="n"/>
      <c r="B187" s="13" t="n"/>
      <c r="C187" s="13" t="n"/>
      <c r="D187" s="11" t="n"/>
      <c r="E187" s="7">
        <f>IF(A187="","",IF(OR(A187&lt;TaxStart,A187&gt;TaxEnd),"Outside tax year",IF(A187&lt;DATE(YEAR(TaxStart),7,6),"Q1",IF(A187&lt;DATE(YEAR(TaxStart),10,6),"Q2",IF(A187&lt;DATE(YEAR(TaxStart)+1,1,6),"Q3","Q4")))))</f>
        <v/>
      </c>
    </row>
    <row r="188">
      <c r="A188" s="8" t="n"/>
      <c r="B188" s="13" t="n"/>
      <c r="C188" s="13" t="n"/>
      <c r="D188" s="11" t="n"/>
      <c r="E188" s="7">
        <f>IF(A188="","",IF(OR(A188&lt;TaxStart,A188&gt;TaxEnd),"Outside tax year",IF(A188&lt;DATE(YEAR(TaxStart),7,6),"Q1",IF(A188&lt;DATE(YEAR(TaxStart),10,6),"Q2",IF(A188&lt;DATE(YEAR(TaxStart)+1,1,6),"Q3","Q4")))))</f>
        <v/>
      </c>
    </row>
    <row r="189">
      <c r="A189" s="8" t="n"/>
      <c r="B189" s="13" t="n"/>
      <c r="C189" s="13" t="n"/>
      <c r="D189" s="11" t="n"/>
      <c r="E189" s="7">
        <f>IF(A189="","",IF(OR(A189&lt;TaxStart,A189&gt;TaxEnd),"Outside tax year",IF(A189&lt;DATE(YEAR(TaxStart),7,6),"Q1",IF(A189&lt;DATE(YEAR(TaxStart),10,6),"Q2",IF(A189&lt;DATE(YEAR(TaxStart)+1,1,6),"Q3","Q4")))))</f>
        <v/>
      </c>
    </row>
    <row r="190">
      <c r="A190" s="8" t="n"/>
      <c r="B190" s="13" t="n"/>
      <c r="C190" s="13" t="n"/>
      <c r="D190" s="11" t="n"/>
      <c r="E190" s="7">
        <f>IF(A190="","",IF(OR(A190&lt;TaxStart,A190&gt;TaxEnd),"Outside tax year",IF(A190&lt;DATE(YEAR(TaxStart),7,6),"Q1",IF(A190&lt;DATE(YEAR(TaxStart),10,6),"Q2",IF(A190&lt;DATE(YEAR(TaxStart)+1,1,6),"Q3","Q4")))))</f>
        <v/>
      </c>
    </row>
    <row r="191">
      <c r="A191" s="8" t="n"/>
      <c r="B191" s="13" t="n"/>
      <c r="C191" s="13" t="n"/>
      <c r="D191" s="11" t="n"/>
      <c r="E191" s="7">
        <f>IF(A191="","",IF(OR(A191&lt;TaxStart,A191&gt;TaxEnd),"Outside tax year",IF(A191&lt;DATE(YEAR(TaxStart),7,6),"Q1",IF(A191&lt;DATE(YEAR(TaxStart),10,6),"Q2",IF(A191&lt;DATE(YEAR(TaxStart)+1,1,6),"Q3","Q4")))))</f>
        <v/>
      </c>
    </row>
    <row r="192">
      <c r="A192" s="8" t="n"/>
      <c r="B192" s="13" t="n"/>
      <c r="C192" s="13" t="n"/>
      <c r="D192" s="11" t="n"/>
      <c r="E192" s="7">
        <f>IF(A192="","",IF(OR(A192&lt;TaxStart,A192&gt;TaxEnd),"Outside tax year",IF(A192&lt;DATE(YEAR(TaxStart),7,6),"Q1",IF(A192&lt;DATE(YEAR(TaxStart),10,6),"Q2",IF(A192&lt;DATE(YEAR(TaxStart)+1,1,6),"Q3","Q4")))))</f>
        <v/>
      </c>
    </row>
    <row r="193">
      <c r="A193" s="8" t="n"/>
      <c r="B193" s="13" t="n"/>
      <c r="C193" s="13" t="n"/>
      <c r="D193" s="11" t="n"/>
      <c r="E193" s="7">
        <f>IF(A193="","",IF(OR(A193&lt;TaxStart,A193&gt;TaxEnd),"Outside tax year",IF(A193&lt;DATE(YEAR(TaxStart),7,6),"Q1",IF(A193&lt;DATE(YEAR(TaxStart),10,6),"Q2",IF(A193&lt;DATE(YEAR(TaxStart)+1,1,6),"Q3","Q4")))))</f>
        <v/>
      </c>
    </row>
    <row r="194">
      <c r="A194" s="8" t="n"/>
      <c r="B194" s="13" t="n"/>
      <c r="C194" s="13" t="n"/>
      <c r="D194" s="11" t="n"/>
      <c r="E194" s="7">
        <f>IF(A194="","",IF(OR(A194&lt;TaxStart,A194&gt;TaxEnd),"Outside tax year",IF(A194&lt;DATE(YEAR(TaxStart),7,6),"Q1",IF(A194&lt;DATE(YEAR(TaxStart),10,6),"Q2",IF(A194&lt;DATE(YEAR(TaxStart)+1,1,6),"Q3","Q4")))))</f>
        <v/>
      </c>
    </row>
    <row r="195">
      <c r="A195" s="8" t="n"/>
      <c r="B195" s="13" t="n"/>
      <c r="C195" s="13" t="n"/>
      <c r="D195" s="11" t="n"/>
      <c r="E195" s="7">
        <f>IF(A195="","",IF(OR(A195&lt;TaxStart,A195&gt;TaxEnd),"Outside tax year",IF(A195&lt;DATE(YEAR(TaxStart),7,6),"Q1",IF(A195&lt;DATE(YEAR(TaxStart),10,6),"Q2",IF(A195&lt;DATE(YEAR(TaxStart)+1,1,6),"Q3","Q4")))))</f>
        <v/>
      </c>
    </row>
    <row r="196">
      <c r="A196" s="8" t="n"/>
      <c r="B196" s="13" t="n"/>
      <c r="C196" s="13" t="n"/>
      <c r="D196" s="11" t="n"/>
      <c r="E196" s="7">
        <f>IF(A196="","",IF(OR(A196&lt;TaxStart,A196&gt;TaxEnd),"Outside tax year",IF(A196&lt;DATE(YEAR(TaxStart),7,6),"Q1",IF(A196&lt;DATE(YEAR(TaxStart),10,6),"Q2",IF(A196&lt;DATE(YEAR(TaxStart)+1,1,6),"Q3","Q4")))))</f>
        <v/>
      </c>
    </row>
    <row r="197">
      <c r="A197" s="8" t="n"/>
      <c r="B197" s="13" t="n"/>
      <c r="C197" s="13" t="n"/>
      <c r="D197" s="11" t="n"/>
      <c r="E197" s="7">
        <f>IF(A197="","",IF(OR(A197&lt;TaxStart,A197&gt;TaxEnd),"Outside tax year",IF(A197&lt;DATE(YEAR(TaxStart),7,6),"Q1",IF(A197&lt;DATE(YEAR(TaxStart),10,6),"Q2",IF(A197&lt;DATE(YEAR(TaxStart)+1,1,6),"Q3","Q4")))))</f>
        <v/>
      </c>
    </row>
    <row r="198">
      <c r="A198" s="8" t="n"/>
      <c r="B198" s="13" t="n"/>
      <c r="C198" s="13" t="n"/>
      <c r="D198" s="11" t="n"/>
      <c r="E198" s="7">
        <f>IF(A198="","",IF(OR(A198&lt;TaxStart,A198&gt;TaxEnd),"Outside tax year",IF(A198&lt;DATE(YEAR(TaxStart),7,6),"Q1",IF(A198&lt;DATE(YEAR(TaxStart),10,6),"Q2",IF(A198&lt;DATE(YEAR(TaxStart)+1,1,6),"Q3","Q4")))))</f>
        <v/>
      </c>
    </row>
    <row r="199">
      <c r="A199" s="8" t="n"/>
      <c r="B199" s="13" t="n"/>
      <c r="C199" s="13" t="n"/>
      <c r="D199" s="11" t="n"/>
      <c r="E199" s="7">
        <f>IF(A199="","",IF(OR(A199&lt;TaxStart,A199&gt;TaxEnd),"Outside tax year",IF(A199&lt;DATE(YEAR(TaxStart),7,6),"Q1",IF(A199&lt;DATE(YEAR(TaxStart),10,6),"Q2",IF(A199&lt;DATE(YEAR(TaxStart)+1,1,6),"Q3","Q4")))))</f>
        <v/>
      </c>
    </row>
    <row r="200">
      <c r="A200" s="8" t="n"/>
      <c r="B200" s="13" t="n"/>
      <c r="C200" s="13" t="n"/>
      <c r="D200" s="11" t="n"/>
      <c r="E200" s="7">
        <f>IF(A200="","",IF(OR(A200&lt;TaxStart,A200&gt;TaxEnd),"Outside tax year",IF(A200&lt;DATE(YEAR(TaxStart),7,6),"Q1",IF(A200&lt;DATE(YEAR(TaxStart),10,6),"Q2",IF(A200&lt;DATE(YEAR(TaxStart)+1,1,6),"Q3","Q4")))))</f>
        <v/>
      </c>
    </row>
    <row r="201">
      <c r="A201" s="8" t="n"/>
      <c r="B201" s="13" t="n"/>
      <c r="C201" s="13" t="n"/>
      <c r="D201" s="11" t="n"/>
      <c r="E201" s="7">
        <f>IF(A201="","",IF(OR(A201&lt;TaxStart,A201&gt;TaxEnd),"Outside tax year",IF(A201&lt;DATE(YEAR(TaxStart),7,6),"Q1",IF(A201&lt;DATE(YEAR(TaxStart),10,6),"Q2",IF(A201&lt;DATE(YEAR(TaxStart)+1,1,6),"Q3","Q4")))))</f>
        <v/>
      </c>
    </row>
    <row r="202">
      <c r="A202" s="8" t="n"/>
      <c r="B202" s="13" t="n"/>
      <c r="C202" s="13" t="n"/>
      <c r="D202" s="11" t="n"/>
      <c r="E202" s="7">
        <f>IF(A202="","",IF(OR(A202&lt;TaxStart,A202&gt;TaxEnd),"Outside tax year",IF(A202&lt;DATE(YEAR(TaxStart),7,6),"Q1",IF(A202&lt;DATE(YEAR(TaxStart),10,6),"Q2",IF(A202&lt;DATE(YEAR(TaxStart)+1,1,6),"Q3","Q4")))))</f>
        <v/>
      </c>
    </row>
    <row r="203">
      <c r="A203" s="8" t="n"/>
      <c r="B203" s="13" t="n"/>
      <c r="C203" s="13" t="n"/>
      <c r="D203" s="11" t="n"/>
      <c r="E203" s="7">
        <f>IF(A203="","",IF(OR(A203&lt;TaxStart,A203&gt;TaxEnd),"Outside tax year",IF(A203&lt;DATE(YEAR(TaxStart),7,6),"Q1",IF(A203&lt;DATE(YEAR(TaxStart),10,6),"Q2",IF(A203&lt;DATE(YEAR(TaxStart)+1,1,6),"Q3","Q4")))))</f>
        <v/>
      </c>
    </row>
    <row r="204">
      <c r="A204" s="8" t="n"/>
      <c r="B204" s="13" t="n"/>
      <c r="C204" s="13" t="n"/>
      <c r="D204" s="11" t="n"/>
      <c r="E204" s="7">
        <f>IF(A204="","",IF(OR(A204&lt;TaxStart,A204&gt;TaxEnd),"Outside tax year",IF(A204&lt;DATE(YEAR(TaxStart),7,6),"Q1",IF(A204&lt;DATE(YEAR(TaxStart),10,6),"Q2",IF(A204&lt;DATE(YEAR(TaxStart)+1,1,6),"Q3","Q4")))))</f>
        <v/>
      </c>
    </row>
    <row r="205">
      <c r="A205" s="8" t="n"/>
      <c r="B205" s="13" t="n"/>
      <c r="C205" s="13" t="n"/>
      <c r="D205" s="11" t="n"/>
      <c r="E205" s="7">
        <f>IF(A205="","",IF(OR(A205&lt;TaxStart,A205&gt;TaxEnd),"Outside tax year",IF(A205&lt;DATE(YEAR(TaxStart),7,6),"Q1",IF(A205&lt;DATE(YEAR(TaxStart),10,6),"Q2",IF(A205&lt;DATE(YEAR(TaxStart)+1,1,6),"Q3","Q4")))))</f>
        <v/>
      </c>
    </row>
    <row r="206">
      <c r="A206" s="8" t="n"/>
      <c r="B206" s="13" t="n"/>
      <c r="C206" s="13" t="n"/>
      <c r="D206" s="11" t="n"/>
      <c r="E206" s="7">
        <f>IF(A206="","",IF(OR(A206&lt;TaxStart,A206&gt;TaxEnd),"Outside tax year",IF(A206&lt;DATE(YEAR(TaxStart),7,6),"Q1",IF(A206&lt;DATE(YEAR(TaxStart),10,6),"Q2",IF(A206&lt;DATE(YEAR(TaxStart)+1,1,6),"Q3","Q4")))))</f>
        <v/>
      </c>
    </row>
    <row r="207">
      <c r="A207" s="8" t="n"/>
      <c r="B207" s="13" t="n"/>
      <c r="C207" s="13" t="n"/>
      <c r="D207" s="11" t="n"/>
      <c r="E207" s="7">
        <f>IF(A207="","",IF(OR(A207&lt;TaxStart,A207&gt;TaxEnd),"Outside tax year",IF(A207&lt;DATE(YEAR(TaxStart),7,6),"Q1",IF(A207&lt;DATE(YEAR(TaxStart),10,6),"Q2",IF(A207&lt;DATE(YEAR(TaxStart)+1,1,6),"Q3","Q4")))))</f>
        <v/>
      </c>
    </row>
    <row r="208">
      <c r="A208" s="8" t="n"/>
      <c r="B208" s="13" t="n"/>
      <c r="C208" s="13" t="n"/>
      <c r="D208" s="11" t="n"/>
      <c r="E208" s="7">
        <f>IF(A208="","",IF(OR(A208&lt;TaxStart,A208&gt;TaxEnd),"Outside tax year",IF(A208&lt;DATE(YEAR(TaxStart),7,6),"Q1",IF(A208&lt;DATE(YEAR(TaxStart),10,6),"Q2",IF(A208&lt;DATE(YEAR(TaxStart)+1,1,6),"Q3","Q4")))))</f>
        <v/>
      </c>
    </row>
    <row r="209">
      <c r="A209" s="8" t="n"/>
      <c r="B209" s="13" t="n"/>
      <c r="C209" s="13" t="n"/>
      <c r="D209" s="11" t="n"/>
      <c r="E209" s="7">
        <f>IF(A209="","",IF(OR(A209&lt;TaxStart,A209&gt;TaxEnd),"Outside tax year",IF(A209&lt;DATE(YEAR(TaxStart),7,6),"Q1",IF(A209&lt;DATE(YEAR(TaxStart),10,6),"Q2",IF(A209&lt;DATE(YEAR(TaxStart)+1,1,6),"Q3","Q4")))))</f>
        <v/>
      </c>
    </row>
    <row r="210">
      <c r="A210" s="8" t="n"/>
      <c r="B210" s="13" t="n"/>
      <c r="C210" s="13" t="n"/>
      <c r="D210" s="11" t="n"/>
      <c r="E210" s="7">
        <f>IF(A210="","",IF(OR(A210&lt;TaxStart,A210&gt;TaxEnd),"Outside tax year",IF(A210&lt;DATE(YEAR(TaxStart),7,6),"Q1",IF(A210&lt;DATE(YEAR(TaxStart),10,6),"Q2",IF(A210&lt;DATE(YEAR(TaxStart)+1,1,6),"Q3","Q4")))))</f>
        <v/>
      </c>
    </row>
    <row r="211">
      <c r="A211" s="8" t="n"/>
      <c r="B211" s="13" t="n"/>
      <c r="C211" s="13" t="n"/>
      <c r="D211" s="11" t="n"/>
      <c r="E211" s="7">
        <f>IF(A211="","",IF(OR(A211&lt;TaxStart,A211&gt;TaxEnd),"Outside tax year",IF(A211&lt;DATE(YEAR(TaxStart),7,6),"Q1",IF(A211&lt;DATE(YEAR(TaxStart),10,6),"Q2",IF(A211&lt;DATE(YEAR(TaxStart)+1,1,6),"Q3","Q4")))))</f>
        <v/>
      </c>
    </row>
    <row r="212">
      <c r="A212" s="8" t="n"/>
      <c r="B212" s="13" t="n"/>
      <c r="C212" s="13" t="n"/>
      <c r="D212" s="11" t="n"/>
      <c r="E212" s="7">
        <f>IF(A212="","",IF(OR(A212&lt;TaxStart,A212&gt;TaxEnd),"Outside tax year",IF(A212&lt;DATE(YEAR(TaxStart),7,6),"Q1",IF(A212&lt;DATE(YEAR(TaxStart),10,6),"Q2",IF(A212&lt;DATE(YEAR(TaxStart)+1,1,6),"Q3","Q4")))))</f>
        <v/>
      </c>
    </row>
    <row r="213">
      <c r="A213" s="8" t="n"/>
      <c r="B213" s="13" t="n"/>
      <c r="C213" s="13" t="n"/>
      <c r="D213" s="11" t="n"/>
      <c r="E213" s="7">
        <f>IF(A213="","",IF(OR(A213&lt;TaxStart,A213&gt;TaxEnd),"Outside tax year",IF(A213&lt;DATE(YEAR(TaxStart),7,6),"Q1",IF(A213&lt;DATE(YEAR(TaxStart),10,6),"Q2",IF(A213&lt;DATE(YEAR(TaxStart)+1,1,6),"Q3","Q4")))))</f>
        <v/>
      </c>
    </row>
    <row r="214">
      <c r="A214" s="8" t="n"/>
      <c r="B214" s="13" t="n"/>
      <c r="C214" s="13" t="n"/>
      <c r="D214" s="11" t="n"/>
      <c r="E214" s="7">
        <f>IF(A214="","",IF(OR(A214&lt;TaxStart,A214&gt;TaxEnd),"Outside tax year",IF(A214&lt;DATE(YEAR(TaxStart),7,6),"Q1",IF(A214&lt;DATE(YEAR(TaxStart),10,6),"Q2",IF(A214&lt;DATE(YEAR(TaxStart)+1,1,6),"Q3","Q4")))))</f>
        <v/>
      </c>
    </row>
    <row r="215">
      <c r="A215" s="8" t="n"/>
      <c r="B215" s="13" t="n"/>
      <c r="C215" s="13" t="n"/>
      <c r="D215" s="11" t="n"/>
      <c r="E215" s="7">
        <f>IF(A215="","",IF(OR(A215&lt;TaxStart,A215&gt;TaxEnd),"Outside tax year",IF(A215&lt;DATE(YEAR(TaxStart),7,6),"Q1",IF(A215&lt;DATE(YEAR(TaxStart),10,6),"Q2",IF(A215&lt;DATE(YEAR(TaxStart)+1,1,6),"Q3","Q4")))))</f>
        <v/>
      </c>
    </row>
    <row r="216">
      <c r="A216" s="8" t="n"/>
      <c r="B216" s="13" t="n"/>
      <c r="C216" s="13" t="n"/>
      <c r="D216" s="11" t="n"/>
      <c r="E216" s="7">
        <f>IF(A216="","",IF(OR(A216&lt;TaxStart,A216&gt;TaxEnd),"Outside tax year",IF(A216&lt;DATE(YEAR(TaxStart),7,6),"Q1",IF(A216&lt;DATE(YEAR(TaxStart),10,6),"Q2",IF(A216&lt;DATE(YEAR(TaxStart)+1,1,6),"Q3","Q4")))))</f>
        <v/>
      </c>
    </row>
    <row r="217">
      <c r="A217" s="8" t="n"/>
      <c r="B217" s="13" t="n"/>
      <c r="C217" s="13" t="n"/>
      <c r="D217" s="11" t="n"/>
      <c r="E217" s="7">
        <f>IF(A217="","",IF(OR(A217&lt;TaxStart,A217&gt;TaxEnd),"Outside tax year",IF(A217&lt;DATE(YEAR(TaxStart),7,6),"Q1",IF(A217&lt;DATE(YEAR(TaxStart),10,6),"Q2",IF(A217&lt;DATE(YEAR(TaxStart)+1,1,6),"Q3","Q4")))))</f>
        <v/>
      </c>
    </row>
    <row r="218">
      <c r="A218" s="8" t="n"/>
      <c r="B218" s="13" t="n"/>
      <c r="C218" s="13" t="n"/>
      <c r="D218" s="11" t="n"/>
      <c r="E218" s="7">
        <f>IF(A218="","",IF(OR(A218&lt;TaxStart,A218&gt;TaxEnd),"Outside tax year",IF(A218&lt;DATE(YEAR(TaxStart),7,6),"Q1",IF(A218&lt;DATE(YEAR(TaxStart),10,6),"Q2",IF(A218&lt;DATE(YEAR(TaxStart)+1,1,6),"Q3","Q4")))))</f>
        <v/>
      </c>
    </row>
    <row r="219">
      <c r="A219" s="8" t="n"/>
      <c r="B219" s="13" t="n"/>
      <c r="C219" s="13" t="n"/>
      <c r="D219" s="11" t="n"/>
      <c r="E219" s="7">
        <f>IF(A219="","",IF(OR(A219&lt;TaxStart,A219&gt;TaxEnd),"Outside tax year",IF(A219&lt;DATE(YEAR(TaxStart),7,6),"Q1",IF(A219&lt;DATE(YEAR(TaxStart),10,6),"Q2",IF(A219&lt;DATE(YEAR(TaxStart)+1,1,6),"Q3","Q4")))))</f>
        <v/>
      </c>
    </row>
    <row r="220">
      <c r="A220" s="8" t="n"/>
      <c r="B220" s="13" t="n"/>
      <c r="C220" s="13" t="n"/>
      <c r="D220" s="11" t="n"/>
      <c r="E220" s="7">
        <f>IF(A220="","",IF(OR(A220&lt;TaxStart,A220&gt;TaxEnd),"Outside tax year",IF(A220&lt;DATE(YEAR(TaxStart),7,6),"Q1",IF(A220&lt;DATE(YEAR(TaxStart),10,6),"Q2",IF(A220&lt;DATE(YEAR(TaxStart)+1,1,6),"Q3","Q4")))))</f>
        <v/>
      </c>
    </row>
    <row r="221">
      <c r="A221" s="8" t="n"/>
      <c r="B221" s="13" t="n"/>
      <c r="C221" s="13" t="n"/>
      <c r="D221" s="11" t="n"/>
      <c r="E221" s="7">
        <f>IF(A221="","",IF(OR(A221&lt;TaxStart,A221&gt;TaxEnd),"Outside tax year",IF(A221&lt;DATE(YEAR(TaxStart),7,6),"Q1",IF(A221&lt;DATE(YEAR(TaxStart),10,6),"Q2",IF(A221&lt;DATE(YEAR(TaxStart)+1,1,6),"Q3","Q4")))))</f>
        <v/>
      </c>
    </row>
    <row r="222">
      <c r="A222" s="8" t="n"/>
      <c r="B222" s="13" t="n"/>
      <c r="C222" s="13" t="n"/>
      <c r="D222" s="11" t="n"/>
      <c r="E222" s="7">
        <f>IF(A222="","",IF(OR(A222&lt;TaxStart,A222&gt;TaxEnd),"Outside tax year",IF(A222&lt;DATE(YEAR(TaxStart),7,6),"Q1",IF(A222&lt;DATE(YEAR(TaxStart),10,6),"Q2",IF(A222&lt;DATE(YEAR(TaxStart)+1,1,6),"Q3","Q4")))))</f>
        <v/>
      </c>
    </row>
    <row r="223">
      <c r="A223" s="8" t="n"/>
      <c r="B223" s="13" t="n"/>
      <c r="C223" s="13" t="n"/>
      <c r="D223" s="11" t="n"/>
      <c r="E223" s="7">
        <f>IF(A223="","",IF(OR(A223&lt;TaxStart,A223&gt;TaxEnd),"Outside tax year",IF(A223&lt;DATE(YEAR(TaxStart),7,6),"Q1",IF(A223&lt;DATE(YEAR(TaxStart),10,6),"Q2",IF(A223&lt;DATE(YEAR(TaxStart)+1,1,6),"Q3","Q4")))))</f>
        <v/>
      </c>
    </row>
    <row r="224">
      <c r="A224" s="8" t="n"/>
      <c r="B224" s="13" t="n"/>
      <c r="C224" s="13" t="n"/>
      <c r="D224" s="11" t="n"/>
      <c r="E224" s="7">
        <f>IF(A224="","",IF(OR(A224&lt;TaxStart,A224&gt;TaxEnd),"Outside tax year",IF(A224&lt;DATE(YEAR(TaxStart),7,6),"Q1",IF(A224&lt;DATE(YEAR(TaxStart),10,6),"Q2",IF(A224&lt;DATE(YEAR(TaxStart)+1,1,6),"Q3","Q4")))))</f>
        <v/>
      </c>
    </row>
    <row r="225">
      <c r="A225" s="8" t="n"/>
      <c r="B225" s="13" t="n"/>
      <c r="C225" s="13" t="n"/>
      <c r="D225" s="11" t="n"/>
      <c r="E225" s="7">
        <f>IF(A225="","",IF(OR(A225&lt;TaxStart,A225&gt;TaxEnd),"Outside tax year",IF(A225&lt;DATE(YEAR(TaxStart),7,6),"Q1",IF(A225&lt;DATE(YEAR(TaxStart),10,6),"Q2",IF(A225&lt;DATE(YEAR(TaxStart)+1,1,6),"Q3","Q4")))))</f>
        <v/>
      </c>
    </row>
    <row r="226">
      <c r="A226" s="8" t="n"/>
      <c r="B226" s="13" t="n"/>
      <c r="C226" s="13" t="n"/>
      <c r="D226" s="11" t="n"/>
      <c r="E226" s="7">
        <f>IF(A226="","",IF(OR(A226&lt;TaxStart,A226&gt;TaxEnd),"Outside tax year",IF(A226&lt;DATE(YEAR(TaxStart),7,6),"Q1",IF(A226&lt;DATE(YEAR(TaxStart),10,6),"Q2",IF(A226&lt;DATE(YEAR(TaxStart)+1,1,6),"Q3","Q4")))))</f>
        <v/>
      </c>
    </row>
    <row r="227">
      <c r="A227" s="8" t="n"/>
      <c r="B227" s="13" t="n"/>
      <c r="C227" s="13" t="n"/>
      <c r="D227" s="11" t="n"/>
      <c r="E227" s="7">
        <f>IF(A227="","",IF(OR(A227&lt;TaxStart,A227&gt;TaxEnd),"Outside tax year",IF(A227&lt;DATE(YEAR(TaxStart),7,6),"Q1",IF(A227&lt;DATE(YEAR(TaxStart),10,6),"Q2",IF(A227&lt;DATE(YEAR(TaxStart)+1,1,6),"Q3","Q4")))))</f>
        <v/>
      </c>
    </row>
    <row r="228">
      <c r="A228" s="8" t="n"/>
      <c r="B228" s="13" t="n"/>
      <c r="C228" s="13" t="n"/>
      <c r="D228" s="11" t="n"/>
      <c r="E228" s="7">
        <f>IF(A228="","",IF(OR(A228&lt;TaxStart,A228&gt;TaxEnd),"Outside tax year",IF(A228&lt;DATE(YEAR(TaxStart),7,6),"Q1",IF(A228&lt;DATE(YEAR(TaxStart),10,6),"Q2",IF(A228&lt;DATE(YEAR(TaxStart)+1,1,6),"Q3","Q4")))))</f>
        <v/>
      </c>
    </row>
    <row r="229">
      <c r="A229" s="8" t="n"/>
      <c r="B229" s="13" t="n"/>
      <c r="C229" s="13" t="n"/>
      <c r="D229" s="11" t="n"/>
      <c r="E229" s="7">
        <f>IF(A229="","",IF(OR(A229&lt;TaxStart,A229&gt;TaxEnd),"Outside tax year",IF(A229&lt;DATE(YEAR(TaxStart),7,6),"Q1",IF(A229&lt;DATE(YEAR(TaxStart),10,6),"Q2",IF(A229&lt;DATE(YEAR(TaxStart)+1,1,6),"Q3","Q4")))))</f>
        <v/>
      </c>
    </row>
    <row r="230">
      <c r="A230" s="8" t="n"/>
      <c r="B230" s="13" t="n"/>
      <c r="C230" s="13" t="n"/>
      <c r="D230" s="11" t="n"/>
      <c r="E230" s="7">
        <f>IF(A230="","",IF(OR(A230&lt;TaxStart,A230&gt;TaxEnd),"Outside tax year",IF(A230&lt;DATE(YEAR(TaxStart),7,6),"Q1",IF(A230&lt;DATE(YEAR(TaxStart),10,6),"Q2",IF(A230&lt;DATE(YEAR(TaxStart)+1,1,6),"Q3","Q4")))))</f>
        <v/>
      </c>
    </row>
    <row r="231">
      <c r="A231" s="8" t="n"/>
      <c r="B231" s="13" t="n"/>
      <c r="C231" s="13" t="n"/>
      <c r="D231" s="11" t="n"/>
      <c r="E231" s="7">
        <f>IF(A231="","",IF(OR(A231&lt;TaxStart,A231&gt;TaxEnd),"Outside tax year",IF(A231&lt;DATE(YEAR(TaxStart),7,6),"Q1",IF(A231&lt;DATE(YEAR(TaxStart),10,6),"Q2",IF(A231&lt;DATE(YEAR(TaxStart)+1,1,6),"Q3","Q4")))))</f>
        <v/>
      </c>
    </row>
    <row r="232">
      <c r="A232" s="8" t="n"/>
      <c r="B232" s="13" t="n"/>
      <c r="C232" s="13" t="n"/>
      <c r="D232" s="11" t="n"/>
      <c r="E232" s="7">
        <f>IF(A232="","",IF(OR(A232&lt;TaxStart,A232&gt;TaxEnd),"Outside tax year",IF(A232&lt;DATE(YEAR(TaxStart),7,6),"Q1",IF(A232&lt;DATE(YEAR(TaxStart),10,6),"Q2",IF(A232&lt;DATE(YEAR(TaxStart)+1,1,6),"Q3","Q4")))))</f>
        <v/>
      </c>
    </row>
    <row r="233">
      <c r="A233" s="8" t="n"/>
      <c r="B233" s="13" t="n"/>
      <c r="C233" s="13" t="n"/>
      <c r="D233" s="11" t="n"/>
      <c r="E233" s="7">
        <f>IF(A233="","",IF(OR(A233&lt;TaxStart,A233&gt;TaxEnd),"Outside tax year",IF(A233&lt;DATE(YEAR(TaxStart),7,6),"Q1",IF(A233&lt;DATE(YEAR(TaxStart),10,6),"Q2",IF(A233&lt;DATE(YEAR(TaxStart)+1,1,6),"Q3","Q4")))))</f>
        <v/>
      </c>
    </row>
    <row r="234">
      <c r="A234" s="8" t="n"/>
      <c r="B234" s="13" t="n"/>
      <c r="C234" s="13" t="n"/>
      <c r="D234" s="11" t="n"/>
      <c r="E234" s="7">
        <f>IF(A234="","",IF(OR(A234&lt;TaxStart,A234&gt;TaxEnd),"Outside tax year",IF(A234&lt;DATE(YEAR(TaxStart),7,6),"Q1",IF(A234&lt;DATE(YEAR(TaxStart),10,6),"Q2",IF(A234&lt;DATE(YEAR(TaxStart)+1,1,6),"Q3","Q4")))))</f>
        <v/>
      </c>
    </row>
    <row r="235">
      <c r="A235" s="8" t="n"/>
      <c r="B235" s="13" t="n"/>
      <c r="C235" s="13" t="n"/>
      <c r="D235" s="11" t="n"/>
      <c r="E235" s="7">
        <f>IF(A235="","",IF(OR(A235&lt;TaxStart,A235&gt;TaxEnd),"Outside tax year",IF(A235&lt;DATE(YEAR(TaxStart),7,6),"Q1",IF(A235&lt;DATE(YEAR(TaxStart),10,6),"Q2",IF(A235&lt;DATE(YEAR(TaxStart)+1,1,6),"Q3","Q4")))))</f>
        <v/>
      </c>
    </row>
    <row r="236">
      <c r="A236" s="8" t="n"/>
      <c r="B236" s="13" t="n"/>
      <c r="C236" s="13" t="n"/>
      <c r="D236" s="11" t="n"/>
      <c r="E236" s="7">
        <f>IF(A236="","",IF(OR(A236&lt;TaxStart,A236&gt;TaxEnd),"Outside tax year",IF(A236&lt;DATE(YEAR(TaxStart),7,6),"Q1",IF(A236&lt;DATE(YEAR(TaxStart),10,6),"Q2",IF(A236&lt;DATE(YEAR(TaxStart)+1,1,6),"Q3","Q4")))))</f>
        <v/>
      </c>
    </row>
    <row r="237">
      <c r="A237" s="8" t="n"/>
      <c r="B237" s="13" t="n"/>
      <c r="C237" s="13" t="n"/>
      <c r="D237" s="11" t="n"/>
      <c r="E237" s="7">
        <f>IF(A237="","",IF(OR(A237&lt;TaxStart,A237&gt;TaxEnd),"Outside tax year",IF(A237&lt;DATE(YEAR(TaxStart),7,6),"Q1",IF(A237&lt;DATE(YEAR(TaxStart),10,6),"Q2",IF(A237&lt;DATE(YEAR(TaxStart)+1,1,6),"Q3","Q4")))))</f>
        <v/>
      </c>
    </row>
    <row r="238">
      <c r="A238" s="8" t="n"/>
      <c r="B238" s="13" t="n"/>
      <c r="C238" s="13" t="n"/>
      <c r="D238" s="11" t="n"/>
      <c r="E238" s="7">
        <f>IF(A238="","",IF(OR(A238&lt;TaxStart,A238&gt;TaxEnd),"Outside tax year",IF(A238&lt;DATE(YEAR(TaxStart),7,6),"Q1",IF(A238&lt;DATE(YEAR(TaxStart),10,6),"Q2",IF(A238&lt;DATE(YEAR(TaxStart)+1,1,6),"Q3","Q4")))))</f>
        <v/>
      </c>
    </row>
    <row r="239">
      <c r="A239" s="8" t="n"/>
      <c r="B239" s="13" t="n"/>
      <c r="C239" s="13" t="n"/>
      <c r="D239" s="11" t="n"/>
      <c r="E239" s="7">
        <f>IF(A239="","",IF(OR(A239&lt;TaxStart,A239&gt;TaxEnd),"Outside tax year",IF(A239&lt;DATE(YEAR(TaxStart),7,6),"Q1",IF(A239&lt;DATE(YEAR(TaxStart),10,6),"Q2",IF(A239&lt;DATE(YEAR(TaxStart)+1,1,6),"Q3","Q4")))))</f>
        <v/>
      </c>
    </row>
    <row r="240">
      <c r="A240" s="8" t="n"/>
      <c r="B240" s="13" t="n"/>
      <c r="C240" s="13" t="n"/>
      <c r="D240" s="11" t="n"/>
      <c r="E240" s="7">
        <f>IF(A240="","",IF(OR(A240&lt;TaxStart,A240&gt;TaxEnd),"Outside tax year",IF(A240&lt;DATE(YEAR(TaxStart),7,6),"Q1",IF(A240&lt;DATE(YEAR(TaxStart),10,6),"Q2",IF(A240&lt;DATE(YEAR(TaxStart)+1,1,6),"Q3","Q4")))))</f>
        <v/>
      </c>
    </row>
    <row r="241">
      <c r="A241" s="8" t="n"/>
      <c r="B241" s="13" t="n"/>
      <c r="C241" s="13" t="n"/>
      <c r="D241" s="11" t="n"/>
      <c r="E241" s="7">
        <f>IF(A241="","",IF(OR(A241&lt;TaxStart,A241&gt;TaxEnd),"Outside tax year",IF(A241&lt;DATE(YEAR(TaxStart),7,6),"Q1",IF(A241&lt;DATE(YEAR(TaxStart),10,6),"Q2",IF(A241&lt;DATE(YEAR(TaxStart)+1,1,6),"Q3","Q4")))))</f>
        <v/>
      </c>
    </row>
    <row r="242">
      <c r="A242" s="8" t="n"/>
      <c r="B242" s="13" t="n"/>
      <c r="C242" s="13" t="n"/>
      <c r="D242" s="11" t="n"/>
      <c r="E242" s="7">
        <f>IF(A242="","",IF(OR(A242&lt;TaxStart,A242&gt;TaxEnd),"Outside tax year",IF(A242&lt;DATE(YEAR(TaxStart),7,6),"Q1",IF(A242&lt;DATE(YEAR(TaxStart),10,6),"Q2",IF(A242&lt;DATE(YEAR(TaxStart)+1,1,6),"Q3","Q4")))))</f>
        <v/>
      </c>
    </row>
    <row r="243">
      <c r="A243" s="8" t="n"/>
      <c r="B243" s="13" t="n"/>
      <c r="C243" s="13" t="n"/>
      <c r="D243" s="11" t="n"/>
      <c r="E243" s="7">
        <f>IF(A243="","",IF(OR(A243&lt;TaxStart,A243&gt;TaxEnd),"Outside tax year",IF(A243&lt;DATE(YEAR(TaxStart),7,6),"Q1",IF(A243&lt;DATE(YEAR(TaxStart),10,6),"Q2",IF(A243&lt;DATE(YEAR(TaxStart)+1,1,6),"Q3","Q4")))))</f>
        <v/>
      </c>
    </row>
    <row r="244">
      <c r="A244" s="8" t="n"/>
      <c r="B244" s="13" t="n"/>
      <c r="C244" s="13" t="n"/>
      <c r="D244" s="11" t="n"/>
      <c r="E244" s="7">
        <f>IF(A244="","",IF(OR(A244&lt;TaxStart,A244&gt;TaxEnd),"Outside tax year",IF(A244&lt;DATE(YEAR(TaxStart),7,6),"Q1",IF(A244&lt;DATE(YEAR(TaxStart),10,6),"Q2",IF(A244&lt;DATE(YEAR(TaxStart)+1,1,6),"Q3","Q4")))))</f>
        <v/>
      </c>
    </row>
    <row r="245">
      <c r="A245" s="8" t="n"/>
      <c r="B245" s="13" t="n"/>
      <c r="C245" s="13" t="n"/>
      <c r="D245" s="11" t="n"/>
      <c r="E245" s="7">
        <f>IF(A245="","",IF(OR(A245&lt;TaxStart,A245&gt;TaxEnd),"Outside tax year",IF(A245&lt;DATE(YEAR(TaxStart),7,6),"Q1",IF(A245&lt;DATE(YEAR(TaxStart),10,6),"Q2",IF(A245&lt;DATE(YEAR(TaxStart)+1,1,6),"Q3","Q4")))))</f>
        <v/>
      </c>
    </row>
    <row r="246">
      <c r="A246" s="8" t="n"/>
      <c r="B246" s="13" t="n"/>
      <c r="C246" s="13" t="n"/>
      <c r="D246" s="11" t="n"/>
      <c r="E246" s="7">
        <f>IF(A246="","",IF(OR(A246&lt;TaxStart,A246&gt;TaxEnd),"Outside tax year",IF(A246&lt;DATE(YEAR(TaxStart),7,6),"Q1",IF(A246&lt;DATE(YEAR(TaxStart),10,6),"Q2",IF(A246&lt;DATE(YEAR(TaxStart)+1,1,6),"Q3","Q4")))))</f>
        <v/>
      </c>
    </row>
    <row r="247">
      <c r="A247" s="8" t="n"/>
      <c r="B247" s="13" t="n"/>
      <c r="C247" s="13" t="n"/>
      <c r="D247" s="11" t="n"/>
      <c r="E247" s="7">
        <f>IF(A247="","",IF(OR(A247&lt;TaxStart,A247&gt;TaxEnd),"Outside tax year",IF(A247&lt;DATE(YEAR(TaxStart),7,6),"Q1",IF(A247&lt;DATE(YEAR(TaxStart),10,6),"Q2",IF(A247&lt;DATE(YEAR(TaxStart)+1,1,6),"Q3","Q4")))))</f>
        <v/>
      </c>
    </row>
    <row r="248">
      <c r="A248" s="8" t="n"/>
      <c r="B248" s="13" t="n"/>
      <c r="C248" s="13" t="n"/>
      <c r="D248" s="11" t="n"/>
      <c r="E248" s="7">
        <f>IF(A248="","",IF(OR(A248&lt;TaxStart,A248&gt;TaxEnd),"Outside tax year",IF(A248&lt;DATE(YEAR(TaxStart),7,6),"Q1",IF(A248&lt;DATE(YEAR(TaxStart),10,6),"Q2",IF(A248&lt;DATE(YEAR(TaxStart)+1,1,6),"Q3","Q4")))))</f>
        <v/>
      </c>
    </row>
    <row r="249">
      <c r="A249" s="8" t="n"/>
      <c r="B249" s="13" t="n"/>
      <c r="C249" s="13" t="n"/>
      <c r="D249" s="11" t="n"/>
      <c r="E249" s="7">
        <f>IF(A249="","",IF(OR(A249&lt;TaxStart,A249&gt;TaxEnd),"Outside tax year",IF(A249&lt;DATE(YEAR(TaxStart),7,6),"Q1",IF(A249&lt;DATE(YEAR(TaxStart),10,6),"Q2",IF(A249&lt;DATE(YEAR(TaxStart)+1,1,6),"Q3","Q4")))))</f>
        <v/>
      </c>
    </row>
    <row r="250">
      <c r="A250" s="8" t="n"/>
      <c r="B250" s="13" t="n"/>
      <c r="C250" s="13" t="n"/>
      <c r="D250" s="11" t="n"/>
      <c r="E250" s="7">
        <f>IF(A250="","",IF(OR(A250&lt;TaxStart,A250&gt;TaxEnd),"Outside tax year",IF(A250&lt;DATE(YEAR(TaxStart),7,6),"Q1",IF(A250&lt;DATE(YEAR(TaxStart),10,6),"Q2",IF(A250&lt;DATE(YEAR(TaxStart)+1,1,6),"Q3","Q4")))))</f>
        <v/>
      </c>
    </row>
    <row r="251">
      <c r="A251" s="8" t="n"/>
      <c r="B251" s="13" t="n"/>
      <c r="C251" s="13" t="n"/>
      <c r="D251" s="11" t="n"/>
      <c r="E251" s="7">
        <f>IF(A251="","",IF(OR(A251&lt;TaxStart,A251&gt;TaxEnd),"Outside tax year",IF(A251&lt;DATE(YEAR(TaxStart),7,6),"Q1",IF(A251&lt;DATE(YEAR(TaxStart),10,6),"Q2",IF(A251&lt;DATE(YEAR(TaxStart)+1,1,6),"Q3","Q4")))))</f>
        <v/>
      </c>
    </row>
    <row r="252">
      <c r="A252" s="8" t="n"/>
      <c r="B252" s="13" t="n"/>
      <c r="C252" s="13" t="n"/>
      <c r="D252" s="11" t="n"/>
      <c r="E252" s="7">
        <f>IF(A252="","",IF(OR(A252&lt;TaxStart,A252&gt;TaxEnd),"Outside tax year",IF(A252&lt;DATE(YEAR(TaxStart),7,6),"Q1",IF(A252&lt;DATE(YEAR(TaxStart),10,6),"Q2",IF(A252&lt;DATE(YEAR(TaxStart)+1,1,6),"Q3","Q4")))))</f>
        <v/>
      </c>
    </row>
    <row r="253">
      <c r="A253" s="8" t="n"/>
      <c r="B253" s="13" t="n"/>
      <c r="C253" s="13" t="n"/>
      <c r="D253" s="11" t="n"/>
      <c r="E253" s="7">
        <f>IF(A253="","",IF(OR(A253&lt;TaxStart,A253&gt;TaxEnd),"Outside tax year",IF(A253&lt;DATE(YEAR(TaxStart),7,6),"Q1",IF(A253&lt;DATE(YEAR(TaxStart),10,6),"Q2",IF(A253&lt;DATE(YEAR(TaxStart)+1,1,6),"Q3","Q4")))))</f>
        <v/>
      </c>
    </row>
    <row r="254">
      <c r="A254" s="8" t="n"/>
      <c r="B254" s="13" t="n"/>
      <c r="C254" s="13" t="n"/>
      <c r="D254" s="11" t="n"/>
      <c r="E254" s="7">
        <f>IF(A254="","",IF(OR(A254&lt;TaxStart,A254&gt;TaxEnd),"Outside tax year",IF(A254&lt;DATE(YEAR(TaxStart),7,6),"Q1",IF(A254&lt;DATE(YEAR(TaxStart),10,6),"Q2",IF(A254&lt;DATE(YEAR(TaxStart)+1,1,6),"Q3","Q4")))))</f>
        <v/>
      </c>
    </row>
    <row r="255">
      <c r="A255" s="8" t="n"/>
      <c r="B255" s="13" t="n"/>
      <c r="C255" s="13" t="n"/>
      <c r="D255" s="11" t="n"/>
      <c r="E255" s="7">
        <f>IF(A255="","",IF(OR(A255&lt;TaxStart,A255&gt;TaxEnd),"Outside tax year",IF(A255&lt;DATE(YEAR(TaxStart),7,6),"Q1",IF(A255&lt;DATE(YEAR(TaxStart),10,6),"Q2",IF(A255&lt;DATE(YEAR(TaxStart)+1,1,6),"Q3","Q4")))))</f>
        <v/>
      </c>
    </row>
    <row r="256">
      <c r="A256" s="8" t="n"/>
      <c r="B256" s="13" t="n"/>
      <c r="C256" s="13" t="n"/>
      <c r="D256" s="11" t="n"/>
      <c r="E256" s="7">
        <f>IF(A256="","",IF(OR(A256&lt;TaxStart,A256&gt;TaxEnd),"Outside tax year",IF(A256&lt;DATE(YEAR(TaxStart),7,6),"Q1",IF(A256&lt;DATE(YEAR(TaxStart),10,6),"Q2",IF(A256&lt;DATE(YEAR(TaxStart)+1,1,6),"Q3","Q4")))))</f>
        <v/>
      </c>
    </row>
    <row r="257">
      <c r="A257" s="8" t="n"/>
      <c r="B257" s="13" t="n"/>
      <c r="C257" s="13" t="n"/>
      <c r="D257" s="11" t="n"/>
      <c r="E257" s="7">
        <f>IF(A257="","",IF(OR(A257&lt;TaxStart,A257&gt;TaxEnd),"Outside tax year",IF(A257&lt;DATE(YEAR(TaxStart),7,6),"Q1",IF(A257&lt;DATE(YEAR(TaxStart),10,6),"Q2",IF(A257&lt;DATE(YEAR(TaxStart)+1,1,6),"Q3","Q4")))))</f>
        <v/>
      </c>
    </row>
    <row r="258">
      <c r="A258" s="8" t="n"/>
      <c r="B258" s="13" t="n"/>
      <c r="C258" s="13" t="n"/>
      <c r="D258" s="11" t="n"/>
      <c r="E258" s="7">
        <f>IF(A258="","",IF(OR(A258&lt;TaxStart,A258&gt;TaxEnd),"Outside tax year",IF(A258&lt;DATE(YEAR(TaxStart),7,6),"Q1",IF(A258&lt;DATE(YEAR(TaxStart),10,6),"Q2",IF(A258&lt;DATE(YEAR(TaxStart)+1,1,6),"Q3","Q4")))))</f>
        <v/>
      </c>
    </row>
    <row r="259">
      <c r="A259" s="8" t="n"/>
      <c r="B259" s="13" t="n"/>
      <c r="C259" s="13" t="n"/>
      <c r="D259" s="11" t="n"/>
      <c r="E259" s="7">
        <f>IF(A259="","",IF(OR(A259&lt;TaxStart,A259&gt;TaxEnd),"Outside tax year",IF(A259&lt;DATE(YEAR(TaxStart),7,6),"Q1",IF(A259&lt;DATE(YEAR(TaxStart),10,6),"Q2",IF(A259&lt;DATE(YEAR(TaxStart)+1,1,6),"Q3","Q4")))))</f>
        <v/>
      </c>
    </row>
    <row r="260">
      <c r="A260" s="8" t="n"/>
      <c r="B260" s="13" t="n"/>
      <c r="C260" s="13" t="n"/>
      <c r="D260" s="11" t="n"/>
      <c r="E260" s="7">
        <f>IF(A260="","",IF(OR(A260&lt;TaxStart,A260&gt;TaxEnd),"Outside tax year",IF(A260&lt;DATE(YEAR(TaxStart),7,6),"Q1",IF(A260&lt;DATE(YEAR(TaxStart),10,6),"Q2",IF(A260&lt;DATE(YEAR(TaxStart)+1,1,6),"Q3","Q4")))))</f>
        <v/>
      </c>
    </row>
    <row r="261">
      <c r="A261" s="8" t="n"/>
      <c r="B261" s="13" t="n"/>
      <c r="C261" s="13" t="n"/>
      <c r="D261" s="11" t="n"/>
      <c r="E261" s="7">
        <f>IF(A261="","",IF(OR(A261&lt;TaxStart,A261&gt;TaxEnd),"Outside tax year",IF(A261&lt;DATE(YEAR(TaxStart),7,6),"Q1",IF(A261&lt;DATE(YEAR(TaxStart),10,6),"Q2",IF(A261&lt;DATE(YEAR(TaxStart)+1,1,6),"Q3","Q4")))))</f>
        <v/>
      </c>
    </row>
    <row r="262">
      <c r="A262" s="8" t="n"/>
      <c r="B262" s="13" t="n"/>
      <c r="C262" s="13" t="n"/>
      <c r="D262" s="11" t="n"/>
      <c r="E262" s="7">
        <f>IF(A262="","",IF(OR(A262&lt;TaxStart,A262&gt;TaxEnd),"Outside tax year",IF(A262&lt;DATE(YEAR(TaxStart),7,6),"Q1",IF(A262&lt;DATE(YEAR(TaxStart),10,6),"Q2",IF(A262&lt;DATE(YEAR(TaxStart)+1,1,6),"Q3","Q4")))))</f>
        <v/>
      </c>
    </row>
    <row r="263">
      <c r="A263" s="8" t="n"/>
      <c r="B263" s="13" t="n"/>
      <c r="C263" s="13" t="n"/>
      <c r="D263" s="11" t="n"/>
      <c r="E263" s="7">
        <f>IF(A263="","",IF(OR(A263&lt;TaxStart,A263&gt;TaxEnd),"Outside tax year",IF(A263&lt;DATE(YEAR(TaxStart),7,6),"Q1",IF(A263&lt;DATE(YEAR(TaxStart),10,6),"Q2",IF(A263&lt;DATE(YEAR(TaxStart)+1,1,6),"Q3","Q4")))))</f>
        <v/>
      </c>
    </row>
    <row r="264">
      <c r="A264" s="8" t="n"/>
      <c r="B264" s="13" t="n"/>
      <c r="C264" s="13" t="n"/>
      <c r="D264" s="11" t="n"/>
      <c r="E264" s="7">
        <f>IF(A264="","",IF(OR(A264&lt;TaxStart,A264&gt;TaxEnd),"Outside tax year",IF(A264&lt;DATE(YEAR(TaxStart),7,6),"Q1",IF(A264&lt;DATE(YEAR(TaxStart),10,6),"Q2",IF(A264&lt;DATE(YEAR(TaxStart)+1,1,6),"Q3","Q4")))))</f>
        <v/>
      </c>
    </row>
    <row r="265">
      <c r="A265" s="8" t="n"/>
      <c r="B265" s="13" t="n"/>
      <c r="C265" s="13" t="n"/>
      <c r="D265" s="11" t="n"/>
      <c r="E265" s="7">
        <f>IF(A265="","",IF(OR(A265&lt;TaxStart,A265&gt;TaxEnd),"Outside tax year",IF(A265&lt;DATE(YEAR(TaxStart),7,6),"Q1",IF(A265&lt;DATE(YEAR(TaxStart),10,6),"Q2",IF(A265&lt;DATE(YEAR(TaxStart)+1,1,6),"Q3","Q4")))))</f>
        <v/>
      </c>
    </row>
    <row r="266">
      <c r="A266" s="8" t="n"/>
      <c r="B266" s="13" t="n"/>
      <c r="C266" s="13" t="n"/>
      <c r="D266" s="11" t="n"/>
      <c r="E266" s="7">
        <f>IF(A266="","",IF(OR(A266&lt;TaxStart,A266&gt;TaxEnd),"Outside tax year",IF(A266&lt;DATE(YEAR(TaxStart),7,6),"Q1",IF(A266&lt;DATE(YEAR(TaxStart),10,6),"Q2",IF(A266&lt;DATE(YEAR(TaxStart)+1,1,6),"Q3","Q4")))))</f>
        <v/>
      </c>
    </row>
    <row r="267">
      <c r="A267" s="8" t="n"/>
      <c r="B267" s="13" t="n"/>
      <c r="C267" s="13" t="n"/>
      <c r="D267" s="11" t="n"/>
      <c r="E267" s="7">
        <f>IF(A267="","",IF(OR(A267&lt;TaxStart,A267&gt;TaxEnd),"Outside tax year",IF(A267&lt;DATE(YEAR(TaxStart),7,6),"Q1",IF(A267&lt;DATE(YEAR(TaxStart),10,6),"Q2",IF(A267&lt;DATE(YEAR(TaxStart)+1,1,6),"Q3","Q4")))))</f>
        <v/>
      </c>
    </row>
    <row r="268">
      <c r="A268" s="8" t="n"/>
      <c r="B268" s="13" t="n"/>
      <c r="C268" s="13" t="n"/>
      <c r="D268" s="11" t="n"/>
      <c r="E268" s="7">
        <f>IF(A268="","",IF(OR(A268&lt;TaxStart,A268&gt;TaxEnd),"Outside tax year",IF(A268&lt;DATE(YEAR(TaxStart),7,6),"Q1",IF(A268&lt;DATE(YEAR(TaxStart),10,6),"Q2",IF(A268&lt;DATE(YEAR(TaxStart)+1,1,6),"Q3","Q4")))))</f>
        <v/>
      </c>
    </row>
    <row r="269">
      <c r="A269" s="8" t="n"/>
      <c r="B269" s="13" t="n"/>
      <c r="C269" s="13" t="n"/>
      <c r="D269" s="11" t="n"/>
      <c r="E269" s="7">
        <f>IF(A269="","",IF(OR(A269&lt;TaxStart,A269&gt;TaxEnd),"Outside tax year",IF(A269&lt;DATE(YEAR(TaxStart),7,6),"Q1",IF(A269&lt;DATE(YEAR(TaxStart),10,6),"Q2",IF(A269&lt;DATE(YEAR(TaxStart)+1,1,6),"Q3","Q4")))))</f>
        <v/>
      </c>
    </row>
    <row r="270">
      <c r="A270" s="8" t="n"/>
      <c r="B270" s="13" t="n"/>
      <c r="C270" s="13" t="n"/>
      <c r="D270" s="11" t="n"/>
      <c r="E270" s="7">
        <f>IF(A270="","",IF(OR(A270&lt;TaxStart,A270&gt;TaxEnd),"Outside tax year",IF(A270&lt;DATE(YEAR(TaxStart),7,6),"Q1",IF(A270&lt;DATE(YEAR(TaxStart),10,6),"Q2",IF(A270&lt;DATE(YEAR(TaxStart)+1,1,6),"Q3","Q4")))))</f>
        <v/>
      </c>
    </row>
    <row r="271">
      <c r="A271" s="8" t="n"/>
      <c r="B271" s="13" t="n"/>
      <c r="C271" s="13" t="n"/>
      <c r="D271" s="11" t="n"/>
      <c r="E271" s="7">
        <f>IF(A271="","",IF(OR(A271&lt;TaxStart,A271&gt;TaxEnd),"Outside tax year",IF(A271&lt;DATE(YEAR(TaxStart),7,6),"Q1",IF(A271&lt;DATE(YEAR(TaxStart),10,6),"Q2",IF(A271&lt;DATE(YEAR(TaxStart)+1,1,6),"Q3","Q4")))))</f>
        <v/>
      </c>
    </row>
    <row r="272">
      <c r="A272" s="8" t="n"/>
      <c r="B272" s="13" t="n"/>
      <c r="C272" s="13" t="n"/>
      <c r="D272" s="11" t="n"/>
      <c r="E272" s="7">
        <f>IF(A272="","",IF(OR(A272&lt;TaxStart,A272&gt;TaxEnd),"Outside tax year",IF(A272&lt;DATE(YEAR(TaxStart),7,6),"Q1",IF(A272&lt;DATE(YEAR(TaxStart),10,6),"Q2",IF(A272&lt;DATE(YEAR(TaxStart)+1,1,6),"Q3","Q4")))))</f>
        <v/>
      </c>
    </row>
    <row r="273">
      <c r="A273" s="8" t="n"/>
      <c r="B273" s="13" t="n"/>
      <c r="C273" s="13" t="n"/>
      <c r="D273" s="11" t="n"/>
      <c r="E273" s="7">
        <f>IF(A273="","",IF(OR(A273&lt;TaxStart,A273&gt;TaxEnd),"Outside tax year",IF(A273&lt;DATE(YEAR(TaxStart),7,6),"Q1",IF(A273&lt;DATE(YEAR(TaxStart),10,6),"Q2",IF(A273&lt;DATE(YEAR(TaxStart)+1,1,6),"Q3","Q4")))))</f>
        <v/>
      </c>
    </row>
    <row r="274">
      <c r="A274" s="8" t="n"/>
      <c r="B274" s="13" t="n"/>
      <c r="C274" s="13" t="n"/>
      <c r="D274" s="11" t="n"/>
      <c r="E274" s="7">
        <f>IF(A274="","",IF(OR(A274&lt;TaxStart,A274&gt;TaxEnd),"Outside tax year",IF(A274&lt;DATE(YEAR(TaxStart),7,6),"Q1",IF(A274&lt;DATE(YEAR(TaxStart),10,6),"Q2",IF(A274&lt;DATE(YEAR(TaxStart)+1,1,6),"Q3","Q4")))))</f>
        <v/>
      </c>
    </row>
    <row r="275">
      <c r="A275" s="8" t="n"/>
      <c r="B275" s="13" t="n"/>
      <c r="C275" s="13" t="n"/>
      <c r="D275" s="11" t="n"/>
      <c r="E275" s="7">
        <f>IF(A275="","",IF(OR(A275&lt;TaxStart,A275&gt;TaxEnd),"Outside tax year",IF(A275&lt;DATE(YEAR(TaxStart),7,6),"Q1",IF(A275&lt;DATE(YEAR(TaxStart),10,6),"Q2",IF(A275&lt;DATE(YEAR(TaxStart)+1,1,6),"Q3","Q4")))))</f>
        <v/>
      </c>
    </row>
    <row r="276">
      <c r="A276" s="8" t="n"/>
      <c r="B276" s="13" t="n"/>
      <c r="C276" s="13" t="n"/>
      <c r="D276" s="11" t="n"/>
      <c r="E276" s="7">
        <f>IF(A276="","",IF(OR(A276&lt;TaxStart,A276&gt;TaxEnd),"Outside tax year",IF(A276&lt;DATE(YEAR(TaxStart),7,6),"Q1",IF(A276&lt;DATE(YEAR(TaxStart),10,6),"Q2",IF(A276&lt;DATE(YEAR(TaxStart)+1,1,6),"Q3","Q4")))))</f>
        <v/>
      </c>
    </row>
    <row r="277">
      <c r="A277" s="8" t="n"/>
      <c r="B277" s="13" t="n"/>
      <c r="C277" s="13" t="n"/>
      <c r="D277" s="11" t="n"/>
      <c r="E277" s="7">
        <f>IF(A277="","",IF(OR(A277&lt;TaxStart,A277&gt;TaxEnd),"Outside tax year",IF(A277&lt;DATE(YEAR(TaxStart),7,6),"Q1",IF(A277&lt;DATE(YEAR(TaxStart),10,6),"Q2",IF(A277&lt;DATE(YEAR(TaxStart)+1,1,6),"Q3","Q4")))))</f>
        <v/>
      </c>
    </row>
    <row r="278">
      <c r="A278" s="8" t="n"/>
      <c r="B278" s="13" t="n"/>
      <c r="C278" s="13" t="n"/>
      <c r="D278" s="11" t="n"/>
      <c r="E278" s="7">
        <f>IF(A278="","",IF(OR(A278&lt;TaxStart,A278&gt;TaxEnd),"Outside tax year",IF(A278&lt;DATE(YEAR(TaxStart),7,6),"Q1",IF(A278&lt;DATE(YEAR(TaxStart),10,6),"Q2",IF(A278&lt;DATE(YEAR(TaxStart)+1,1,6),"Q3","Q4")))))</f>
        <v/>
      </c>
    </row>
    <row r="279">
      <c r="A279" s="8" t="n"/>
      <c r="B279" s="13" t="n"/>
      <c r="C279" s="13" t="n"/>
      <c r="D279" s="11" t="n"/>
      <c r="E279" s="7">
        <f>IF(A279="","",IF(OR(A279&lt;TaxStart,A279&gt;TaxEnd),"Outside tax year",IF(A279&lt;DATE(YEAR(TaxStart),7,6),"Q1",IF(A279&lt;DATE(YEAR(TaxStart),10,6),"Q2",IF(A279&lt;DATE(YEAR(TaxStart)+1,1,6),"Q3","Q4")))))</f>
        <v/>
      </c>
    </row>
    <row r="280">
      <c r="A280" s="8" t="n"/>
      <c r="B280" s="13" t="n"/>
      <c r="C280" s="13" t="n"/>
      <c r="D280" s="11" t="n"/>
      <c r="E280" s="7">
        <f>IF(A280="","",IF(OR(A280&lt;TaxStart,A280&gt;TaxEnd),"Outside tax year",IF(A280&lt;DATE(YEAR(TaxStart),7,6),"Q1",IF(A280&lt;DATE(YEAR(TaxStart),10,6),"Q2",IF(A280&lt;DATE(YEAR(TaxStart)+1,1,6),"Q3","Q4")))))</f>
        <v/>
      </c>
    </row>
    <row r="281">
      <c r="A281" s="8" t="n"/>
      <c r="B281" s="13" t="n"/>
      <c r="C281" s="13" t="n"/>
      <c r="D281" s="11" t="n"/>
      <c r="E281" s="7">
        <f>IF(A281="","",IF(OR(A281&lt;TaxStart,A281&gt;TaxEnd),"Outside tax year",IF(A281&lt;DATE(YEAR(TaxStart),7,6),"Q1",IF(A281&lt;DATE(YEAR(TaxStart),10,6),"Q2",IF(A281&lt;DATE(YEAR(TaxStart)+1,1,6),"Q3","Q4")))))</f>
        <v/>
      </c>
    </row>
    <row r="282">
      <c r="A282" s="8" t="n"/>
      <c r="B282" s="13" t="n"/>
      <c r="C282" s="13" t="n"/>
      <c r="D282" s="11" t="n"/>
      <c r="E282" s="7">
        <f>IF(A282="","",IF(OR(A282&lt;TaxStart,A282&gt;TaxEnd),"Outside tax year",IF(A282&lt;DATE(YEAR(TaxStart),7,6),"Q1",IF(A282&lt;DATE(YEAR(TaxStart),10,6),"Q2",IF(A282&lt;DATE(YEAR(TaxStart)+1,1,6),"Q3","Q4")))))</f>
        <v/>
      </c>
    </row>
    <row r="283">
      <c r="A283" s="8" t="n"/>
      <c r="B283" s="13" t="n"/>
      <c r="C283" s="13" t="n"/>
      <c r="D283" s="11" t="n"/>
      <c r="E283" s="7">
        <f>IF(A283="","",IF(OR(A283&lt;TaxStart,A283&gt;TaxEnd),"Outside tax year",IF(A283&lt;DATE(YEAR(TaxStart),7,6),"Q1",IF(A283&lt;DATE(YEAR(TaxStart),10,6),"Q2",IF(A283&lt;DATE(YEAR(TaxStart)+1,1,6),"Q3","Q4")))))</f>
        <v/>
      </c>
    </row>
    <row r="284">
      <c r="A284" s="8" t="n"/>
      <c r="B284" s="13" t="n"/>
      <c r="C284" s="13" t="n"/>
      <c r="D284" s="11" t="n"/>
      <c r="E284" s="7">
        <f>IF(A284="","",IF(OR(A284&lt;TaxStart,A284&gt;TaxEnd),"Outside tax year",IF(A284&lt;DATE(YEAR(TaxStart),7,6),"Q1",IF(A284&lt;DATE(YEAR(TaxStart),10,6),"Q2",IF(A284&lt;DATE(YEAR(TaxStart)+1,1,6),"Q3","Q4")))))</f>
        <v/>
      </c>
    </row>
    <row r="285">
      <c r="A285" s="8" t="n"/>
      <c r="B285" s="13" t="n"/>
      <c r="C285" s="13" t="n"/>
      <c r="D285" s="11" t="n"/>
      <c r="E285" s="7">
        <f>IF(A285="","",IF(OR(A285&lt;TaxStart,A285&gt;TaxEnd),"Outside tax year",IF(A285&lt;DATE(YEAR(TaxStart),7,6),"Q1",IF(A285&lt;DATE(YEAR(TaxStart),10,6),"Q2",IF(A285&lt;DATE(YEAR(TaxStart)+1,1,6),"Q3","Q4")))))</f>
        <v/>
      </c>
    </row>
    <row r="286">
      <c r="A286" s="8" t="n"/>
      <c r="B286" s="13" t="n"/>
      <c r="C286" s="13" t="n"/>
      <c r="D286" s="11" t="n"/>
      <c r="E286" s="7">
        <f>IF(A286="","",IF(OR(A286&lt;TaxStart,A286&gt;TaxEnd),"Outside tax year",IF(A286&lt;DATE(YEAR(TaxStart),7,6),"Q1",IF(A286&lt;DATE(YEAR(TaxStart),10,6),"Q2",IF(A286&lt;DATE(YEAR(TaxStart)+1,1,6),"Q3","Q4")))))</f>
        <v/>
      </c>
    </row>
    <row r="287">
      <c r="A287" s="8" t="n"/>
      <c r="B287" s="13" t="n"/>
      <c r="C287" s="13" t="n"/>
      <c r="D287" s="11" t="n"/>
      <c r="E287" s="7">
        <f>IF(A287="","",IF(OR(A287&lt;TaxStart,A287&gt;TaxEnd),"Outside tax year",IF(A287&lt;DATE(YEAR(TaxStart),7,6),"Q1",IF(A287&lt;DATE(YEAR(TaxStart),10,6),"Q2",IF(A287&lt;DATE(YEAR(TaxStart)+1,1,6),"Q3","Q4")))))</f>
        <v/>
      </c>
    </row>
    <row r="288">
      <c r="A288" s="8" t="n"/>
      <c r="B288" s="13" t="n"/>
      <c r="C288" s="13" t="n"/>
      <c r="D288" s="11" t="n"/>
      <c r="E288" s="7">
        <f>IF(A288="","",IF(OR(A288&lt;TaxStart,A288&gt;TaxEnd),"Outside tax year",IF(A288&lt;DATE(YEAR(TaxStart),7,6),"Q1",IF(A288&lt;DATE(YEAR(TaxStart),10,6),"Q2",IF(A288&lt;DATE(YEAR(TaxStart)+1,1,6),"Q3","Q4")))))</f>
        <v/>
      </c>
    </row>
    <row r="289">
      <c r="A289" s="8" t="n"/>
      <c r="B289" s="13" t="n"/>
      <c r="C289" s="13" t="n"/>
      <c r="D289" s="11" t="n"/>
      <c r="E289" s="7">
        <f>IF(A289="","",IF(OR(A289&lt;TaxStart,A289&gt;TaxEnd),"Outside tax year",IF(A289&lt;DATE(YEAR(TaxStart),7,6),"Q1",IF(A289&lt;DATE(YEAR(TaxStart),10,6),"Q2",IF(A289&lt;DATE(YEAR(TaxStart)+1,1,6),"Q3","Q4")))))</f>
        <v/>
      </c>
    </row>
    <row r="290">
      <c r="A290" s="8" t="n"/>
      <c r="B290" s="13" t="n"/>
      <c r="C290" s="13" t="n"/>
      <c r="D290" s="11" t="n"/>
      <c r="E290" s="7">
        <f>IF(A290="","",IF(OR(A290&lt;TaxStart,A290&gt;TaxEnd),"Outside tax year",IF(A290&lt;DATE(YEAR(TaxStart),7,6),"Q1",IF(A290&lt;DATE(YEAR(TaxStart),10,6),"Q2",IF(A290&lt;DATE(YEAR(TaxStart)+1,1,6),"Q3","Q4")))))</f>
        <v/>
      </c>
    </row>
    <row r="291">
      <c r="A291" s="8" t="n"/>
      <c r="B291" s="13" t="n"/>
      <c r="C291" s="13" t="n"/>
      <c r="D291" s="11" t="n"/>
      <c r="E291" s="7">
        <f>IF(A291="","",IF(OR(A291&lt;TaxStart,A291&gt;TaxEnd),"Outside tax year",IF(A291&lt;DATE(YEAR(TaxStart),7,6),"Q1",IF(A291&lt;DATE(YEAR(TaxStart),10,6),"Q2",IF(A291&lt;DATE(YEAR(TaxStart)+1,1,6),"Q3","Q4")))))</f>
        <v/>
      </c>
    </row>
    <row r="292">
      <c r="A292" s="8" t="n"/>
      <c r="B292" s="13" t="n"/>
      <c r="C292" s="13" t="n"/>
      <c r="D292" s="11" t="n"/>
      <c r="E292" s="7">
        <f>IF(A292="","",IF(OR(A292&lt;TaxStart,A292&gt;TaxEnd),"Outside tax year",IF(A292&lt;DATE(YEAR(TaxStart),7,6),"Q1",IF(A292&lt;DATE(YEAR(TaxStart),10,6),"Q2",IF(A292&lt;DATE(YEAR(TaxStart)+1,1,6),"Q3","Q4")))))</f>
        <v/>
      </c>
    </row>
    <row r="293">
      <c r="A293" s="8" t="n"/>
      <c r="B293" s="13" t="n"/>
      <c r="C293" s="13" t="n"/>
      <c r="D293" s="11" t="n"/>
      <c r="E293" s="7">
        <f>IF(A293="","",IF(OR(A293&lt;TaxStart,A293&gt;TaxEnd),"Outside tax year",IF(A293&lt;DATE(YEAR(TaxStart),7,6),"Q1",IF(A293&lt;DATE(YEAR(TaxStart),10,6),"Q2",IF(A293&lt;DATE(YEAR(TaxStart)+1,1,6),"Q3","Q4")))))</f>
        <v/>
      </c>
    </row>
    <row r="294">
      <c r="A294" s="8" t="n"/>
      <c r="B294" s="13" t="n"/>
      <c r="C294" s="13" t="n"/>
      <c r="D294" s="11" t="n"/>
      <c r="E294" s="7">
        <f>IF(A294="","",IF(OR(A294&lt;TaxStart,A294&gt;TaxEnd),"Outside tax year",IF(A294&lt;DATE(YEAR(TaxStart),7,6),"Q1",IF(A294&lt;DATE(YEAR(TaxStart),10,6),"Q2",IF(A294&lt;DATE(YEAR(TaxStart)+1,1,6),"Q3","Q4")))))</f>
        <v/>
      </c>
    </row>
    <row r="295">
      <c r="A295" s="8" t="n"/>
      <c r="B295" s="13" t="n"/>
      <c r="C295" s="13" t="n"/>
      <c r="D295" s="11" t="n"/>
      <c r="E295" s="7">
        <f>IF(A295="","",IF(OR(A295&lt;TaxStart,A295&gt;TaxEnd),"Outside tax year",IF(A295&lt;DATE(YEAR(TaxStart),7,6),"Q1",IF(A295&lt;DATE(YEAR(TaxStart),10,6),"Q2",IF(A295&lt;DATE(YEAR(TaxStart)+1,1,6),"Q3","Q4")))))</f>
        <v/>
      </c>
    </row>
    <row r="296">
      <c r="A296" s="8" t="n"/>
      <c r="B296" s="13" t="n"/>
      <c r="C296" s="13" t="n"/>
      <c r="D296" s="11" t="n"/>
      <c r="E296" s="7">
        <f>IF(A296="","",IF(OR(A296&lt;TaxStart,A296&gt;TaxEnd),"Outside tax year",IF(A296&lt;DATE(YEAR(TaxStart),7,6),"Q1",IF(A296&lt;DATE(YEAR(TaxStart),10,6),"Q2",IF(A296&lt;DATE(YEAR(TaxStart)+1,1,6),"Q3","Q4")))))</f>
        <v/>
      </c>
    </row>
    <row r="297">
      <c r="A297" s="8" t="n"/>
      <c r="B297" s="13" t="n"/>
      <c r="C297" s="13" t="n"/>
      <c r="D297" s="11" t="n"/>
      <c r="E297" s="7">
        <f>IF(A297="","",IF(OR(A297&lt;TaxStart,A297&gt;TaxEnd),"Outside tax year",IF(A297&lt;DATE(YEAR(TaxStart),7,6),"Q1",IF(A297&lt;DATE(YEAR(TaxStart),10,6),"Q2",IF(A297&lt;DATE(YEAR(TaxStart)+1,1,6),"Q3","Q4")))))</f>
        <v/>
      </c>
    </row>
    <row r="298">
      <c r="A298" s="8" t="n"/>
      <c r="B298" s="13" t="n"/>
      <c r="C298" s="13" t="n"/>
      <c r="D298" s="11" t="n"/>
      <c r="E298" s="7">
        <f>IF(A298="","",IF(OR(A298&lt;TaxStart,A298&gt;TaxEnd),"Outside tax year",IF(A298&lt;DATE(YEAR(TaxStart),7,6),"Q1",IF(A298&lt;DATE(YEAR(TaxStart),10,6),"Q2",IF(A298&lt;DATE(YEAR(TaxStart)+1,1,6),"Q3","Q4")))))</f>
        <v/>
      </c>
    </row>
    <row r="299">
      <c r="A299" s="8" t="n"/>
      <c r="B299" s="13" t="n"/>
      <c r="C299" s="13" t="n"/>
      <c r="D299" s="11" t="n"/>
      <c r="E299" s="7">
        <f>IF(A299="","",IF(OR(A299&lt;TaxStart,A299&gt;TaxEnd),"Outside tax year",IF(A299&lt;DATE(YEAR(TaxStart),7,6),"Q1",IF(A299&lt;DATE(YEAR(TaxStart),10,6),"Q2",IF(A299&lt;DATE(YEAR(TaxStart)+1,1,6),"Q3","Q4")))))</f>
        <v/>
      </c>
    </row>
    <row r="300">
      <c r="A300" s="8" t="n"/>
      <c r="B300" s="13" t="n"/>
      <c r="C300" s="13" t="n"/>
      <c r="D300" s="11" t="n"/>
      <c r="E300" s="7">
        <f>IF(A300="","",IF(OR(A300&lt;TaxStart,A300&gt;TaxEnd),"Outside tax year",IF(A300&lt;DATE(YEAR(TaxStart),7,6),"Q1",IF(A300&lt;DATE(YEAR(TaxStart),10,6),"Q2",IF(A300&lt;DATE(YEAR(TaxStart)+1,1,6),"Q3","Q4")))))</f>
        <v/>
      </c>
    </row>
    <row r="301">
      <c r="A301" s="8" t="n"/>
      <c r="B301" s="13" t="n"/>
      <c r="C301" s="13" t="n"/>
      <c r="D301" s="11" t="n"/>
      <c r="E301" s="7">
        <f>IF(A301="","",IF(OR(A301&lt;TaxStart,A301&gt;TaxEnd),"Outside tax year",IF(A301&lt;DATE(YEAR(TaxStart),7,6),"Q1",IF(A301&lt;DATE(YEAR(TaxStart),10,6),"Q2",IF(A301&lt;DATE(YEAR(TaxStart)+1,1,6),"Q3","Q4")))))</f>
        <v/>
      </c>
    </row>
    <row r="302">
      <c r="A302" s="8" t="n"/>
      <c r="B302" s="13" t="n"/>
      <c r="C302" s="13" t="n"/>
      <c r="D302" s="11" t="n"/>
      <c r="E302" s="7">
        <f>IF(A302="","",IF(OR(A302&lt;TaxStart,A302&gt;TaxEnd),"Outside tax year",IF(A302&lt;DATE(YEAR(TaxStart),7,6),"Q1",IF(A302&lt;DATE(YEAR(TaxStart),10,6),"Q2",IF(A302&lt;DATE(YEAR(TaxStart)+1,1,6),"Q3","Q4")))))</f>
        <v/>
      </c>
    </row>
    <row r="303">
      <c r="A303" s="8" t="n"/>
      <c r="B303" s="13" t="n"/>
      <c r="C303" s="13" t="n"/>
      <c r="D303" s="11" t="n"/>
      <c r="E303" s="7">
        <f>IF(A303="","",IF(OR(A303&lt;TaxStart,A303&gt;TaxEnd),"Outside tax year",IF(A303&lt;DATE(YEAR(TaxStart),7,6),"Q1",IF(A303&lt;DATE(YEAR(TaxStart),10,6),"Q2",IF(A303&lt;DATE(YEAR(TaxStart)+1,1,6),"Q3","Q4")))))</f>
        <v/>
      </c>
    </row>
    <row r="304">
      <c r="A304" s="8" t="n"/>
      <c r="B304" s="13" t="n"/>
      <c r="C304" s="13" t="n"/>
      <c r="D304" s="11" t="n"/>
      <c r="E304" s="7">
        <f>IF(A304="","",IF(OR(A304&lt;TaxStart,A304&gt;TaxEnd),"Outside tax year",IF(A304&lt;DATE(YEAR(TaxStart),7,6),"Q1",IF(A304&lt;DATE(YEAR(TaxStart),10,6),"Q2",IF(A304&lt;DATE(YEAR(TaxStart)+1,1,6),"Q3","Q4")))))</f>
        <v/>
      </c>
    </row>
    <row r="305">
      <c r="A305" s="8" t="n"/>
      <c r="B305" s="13" t="n"/>
      <c r="C305" s="13" t="n"/>
      <c r="D305" s="11" t="n"/>
      <c r="E305" s="7">
        <f>IF(A305="","",IF(OR(A305&lt;TaxStart,A305&gt;TaxEnd),"Outside tax year",IF(A305&lt;DATE(YEAR(TaxStart),7,6),"Q1",IF(A305&lt;DATE(YEAR(TaxStart),10,6),"Q2",IF(A305&lt;DATE(YEAR(TaxStart)+1,1,6),"Q3","Q4")))))</f>
        <v/>
      </c>
    </row>
    <row r="306">
      <c r="A306" s="8" t="n"/>
      <c r="B306" s="13" t="n"/>
      <c r="C306" s="13" t="n"/>
      <c r="D306" s="11" t="n"/>
      <c r="E306" s="7">
        <f>IF(A306="","",IF(OR(A306&lt;TaxStart,A306&gt;TaxEnd),"Outside tax year",IF(A306&lt;DATE(YEAR(TaxStart),7,6),"Q1",IF(A306&lt;DATE(YEAR(TaxStart),10,6),"Q2",IF(A306&lt;DATE(YEAR(TaxStart)+1,1,6),"Q3","Q4")))))</f>
        <v/>
      </c>
    </row>
    <row r="307">
      <c r="A307" s="8" t="n"/>
      <c r="B307" s="13" t="n"/>
      <c r="C307" s="13" t="n"/>
      <c r="D307" s="11" t="n"/>
      <c r="E307" s="7">
        <f>IF(A307="","",IF(OR(A307&lt;TaxStart,A307&gt;TaxEnd),"Outside tax year",IF(A307&lt;DATE(YEAR(TaxStart),7,6),"Q1",IF(A307&lt;DATE(YEAR(TaxStart),10,6),"Q2",IF(A307&lt;DATE(YEAR(TaxStart)+1,1,6),"Q3","Q4")))))</f>
        <v/>
      </c>
    </row>
    <row r="308">
      <c r="A308" s="8" t="n"/>
      <c r="B308" s="13" t="n"/>
      <c r="C308" s="13" t="n"/>
      <c r="D308" s="11" t="n"/>
      <c r="E308" s="7">
        <f>IF(A308="","",IF(OR(A308&lt;TaxStart,A308&gt;TaxEnd),"Outside tax year",IF(A308&lt;DATE(YEAR(TaxStart),7,6),"Q1",IF(A308&lt;DATE(YEAR(TaxStart),10,6),"Q2",IF(A308&lt;DATE(YEAR(TaxStart)+1,1,6),"Q3","Q4")))))</f>
        <v/>
      </c>
    </row>
    <row r="309">
      <c r="A309" s="8" t="n"/>
      <c r="B309" s="13" t="n"/>
      <c r="C309" s="13" t="n"/>
      <c r="D309" s="11" t="n"/>
      <c r="E309" s="7">
        <f>IF(A309="","",IF(OR(A309&lt;TaxStart,A309&gt;TaxEnd),"Outside tax year",IF(A309&lt;DATE(YEAR(TaxStart),7,6),"Q1",IF(A309&lt;DATE(YEAR(TaxStart),10,6),"Q2",IF(A309&lt;DATE(YEAR(TaxStart)+1,1,6),"Q3","Q4")))))</f>
        <v/>
      </c>
    </row>
    <row r="310">
      <c r="A310" s="8" t="n"/>
      <c r="B310" s="13" t="n"/>
      <c r="C310" s="13" t="n"/>
      <c r="D310" s="11" t="n"/>
      <c r="E310" s="7">
        <f>IF(A310="","",IF(OR(A310&lt;TaxStart,A310&gt;TaxEnd),"Outside tax year",IF(A310&lt;DATE(YEAR(TaxStart),7,6),"Q1",IF(A310&lt;DATE(YEAR(TaxStart),10,6),"Q2",IF(A310&lt;DATE(YEAR(TaxStart)+1,1,6),"Q3","Q4")))))</f>
        <v/>
      </c>
    </row>
    <row r="311">
      <c r="A311" s="8" t="n"/>
      <c r="B311" s="13" t="n"/>
      <c r="C311" s="13" t="n"/>
      <c r="D311" s="11" t="n"/>
      <c r="E311" s="7">
        <f>IF(A311="","",IF(OR(A311&lt;TaxStart,A311&gt;TaxEnd),"Outside tax year",IF(A311&lt;DATE(YEAR(TaxStart),7,6),"Q1",IF(A311&lt;DATE(YEAR(TaxStart),10,6),"Q2",IF(A311&lt;DATE(YEAR(TaxStart)+1,1,6),"Q3","Q4")))))</f>
        <v/>
      </c>
    </row>
    <row r="312">
      <c r="A312" s="8" t="n"/>
      <c r="B312" s="13" t="n"/>
      <c r="C312" s="13" t="n"/>
      <c r="D312" s="11" t="n"/>
      <c r="E312" s="7">
        <f>IF(A312="","",IF(OR(A312&lt;TaxStart,A312&gt;TaxEnd),"Outside tax year",IF(A312&lt;DATE(YEAR(TaxStart),7,6),"Q1",IF(A312&lt;DATE(YEAR(TaxStart),10,6),"Q2",IF(A312&lt;DATE(YEAR(TaxStart)+1,1,6),"Q3","Q4")))))</f>
        <v/>
      </c>
    </row>
    <row r="313">
      <c r="A313" s="8" t="n"/>
      <c r="B313" s="13" t="n"/>
      <c r="C313" s="13" t="n"/>
      <c r="D313" s="11" t="n"/>
      <c r="E313" s="7">
        <f>IF(A313="","",IF(OR(A313&lt;TaxStart,A313&gt;TaxEnd),"Outside tax year",IF(A313&lt;DATE(YEAR(TaxStart),7,6),"Q1",IF(A313&lt;DATE(YEAR(TaxStart),10,6),"Q2",IF(A313&lt;DATE(YEAR(TaxStart)+1,1,6),"Q3","Q4")))))</f>
        <v/>
      </c>
    </row>
    <row r="314">
      <c r="A314" s="8" t="n"/>
      <c r="B314" s="13" t="n"/>
      <c r="C314" s="13" t="n"/>
      <c r="D314" s="11" t="n"/>
      <c r="E314" s="7">
        <f>IF(A314="","",IF(OR(A314&lt;TaxStart,A314&gt;TaxEnd),"Outside tax year",IF(A314&lt;DATE(YEAR(TaxStart),7,6),"Q1",IF(A314&lt;DATE(YEAR(TaxStart),10,6),"Q2",IF(A314&lt;DATE(YEAR(TaxStart)+1,1,6),"Q3","Q4")))))</f>
        <v/>
      </c>
    </row>
    <row r="315">
      <c r="A315" s="8" t="n"/>
      <c r="B315" s="13" t="n"/>
      <c r="C315" s="13" t="n"/>
      <c r="D315" s="11" t="n"/>
      <c r="E315" s="7">
        <f>IF(A315="","",IF(OR(A315&lt;TaxStart,A315&gt;TaxEnd),"Outside tax year",IF(A315&lt;DATE(YEAR(TaxStart),7,6),"Q1",IF(A315&lt;DATE(YEAR(TaxStart),10,6),"Q2",IF(A315&lt;DATE(YEAR(TaxStart)+1,1,6),"Q3","Q4")))))</f>
        <v/>
      </c>
    </row>
    <row r="316">
      <c r="A316" s="8" t="n"/>
      <c r="B316" s="13" t="n"/>
      <c r="C316" s="13" t="n"/>
      <c r="D316" s="11" t="n"/>
      <c r="E316" s="7">
        <f>IF(A316="","",IF(OR(A316&lt;TaxStart,A316&gt;TaxEnd),"Outside tax year",IF(A316&lt;DATE(YEAR(TaxStart),7,6),"Q1",IF(A316&lt;DATE(YEAR(TaxStart),10,6),"Q2",IF(A316&lt;DATE(YEAR(TaxStart)+1,1,6),"Q3","Q4")))))</f>
        <v/>
      </c>
    </row>
    <row r="317">
      <c r="A317" s="8" t="n"/>
      <c r="B317" s="13" t="n"/>
      <c r="C317" s="13" t="n"/>
      <c r="D317" s="11" t="n"/>
      <c r="E317" s="7">
        <f>IF(A317="","",IF(OR(A317&lt;TaxStart,A317&gt;TaxEnd),"Outside tax year",IF(A317&lt;DATE(YEAR(TaxStart),7,6),"Q1",IF(A317&lt;DATE(YEAR(TaxStart),10,6),"Q2",IF(A317&lt;DATE(YEAR(TaxStart)+1,1,6),"Q3","Q4")))))</f>
        <v/>
      </c>
    </row>
    <row r="318">
      <c r="A318" s="8" t="n"/>
      <c r="B318" s="13" t="n"/>
      <c r="C318" s="13" t="n"/>
      <c r="D318" s="11" t="n"/>
      <c r="E318" s="7">
        <f>IF(A318="","",IF(OR(A318&lt;TaxStart,A318&gt;TaxEnd),"Outside tax year",IF(A318&lt;DATE(YEAR(TaxStart),7,6),"Q1",IF(A318&lt;DATE(YEAR(TaxStart),10,6),"Q2",IF(A318&lt;DATE(YEAR(TaxStart)+1,1,6),"Q3","Q4")))))</f>
        <v/>
      </c>
    </row>
    <row r="319">
      <c r="A319" s="8" t="n"/>
      <c r="B319" s="13" t="n"/>
      <c r="C319" s="13" t="n"/>
      <c r="D319" s="11" t="n"/>
      <c r="E319" s="7">
        <f>IF(A319="","",IF(OR(A319&lt;TaxStart,A319&gt;TaxEnd),"Outside tax year",IF(A319&lt;DATE(YEAR(TaxStart),7,6),"Q1",IF(A319&lt;DATE(YEAR(TaxStart),10,6),"Q2",IF(A319&lt;DATE(YEAR(TaxStart)+1,1,6),"Q3","Q4")))))</f>
        <v/>
      </c>
    </row>
    <row r="320">
      <c r="A320" s="8" t="n"/>
      <c r="B320" s="13" t="n"/>
      <c r="C320" s="13" t="n"/>
      <c r="D320" s="11" t="n"/>
      <c r="E320" s="7">
        <f>IF(A320="","",IF(OR(A320&lt;TaxStart,A320&gt;TaxEnd),"Outside tax year",IF(A320&lt;DATE(YEAR(TaxStart),7,6),"Q1",IF(A320&lt;DATE(YEAR(TaxStart),10,6),"Q2",IF(A320&lt;DATE(YEAR(TaxStart)+1,1,6),"Q3","Q4")))))</f>
        <v/>
      </c>
    </row>
    <row r="321">
      <c r="A321" s="8" t="n"/>
      <c r="B321" s="13" t="n"/>
      <c r="C321" s="13" t="n"/>
      <c r="D321" s="11" t="n"/>
      <c r="E321" s="7">
        <f>IF(A321="","",IF(OR(A321&lt;TaxStart,A321&gt;TaxEnd),"Outside tax year",IF(A321&lt;DATE(YEAR(TaxStart),7,6),"Q1",IF(A321&lt;DATE(YEAR(TaxStart),10,6),"Q2",IF(A321&lt;DATE(YEAR(TaxStart)+1,1,6),"Q3","Q4")))))</f>
        <v/>
      </c>
    </row>
    <row r="322">
      <c r="A322" s="8" t="n"/>
      <c r="B322" s="13" t="n"/>
      <c r="C322" s="13" t="n"/>
      <c r="D322" s="11" t="n"/>
      <c r="E322" s="7">
        <f>IF(A322="","",IF(OR(A322&lt;TaxStart,A322&gt;TaxEnd),"Outside tax year",IF(A322&lt;DATE(YEAR(TaxStart),7,6),"Q1",IF(A322&lt;DATE(YEAR(TaxStart),10,6),"Q2",IF(A322&lt;DATE(YEAR(TaxStart)+1,1,6),"Q3","Q4")))))</f>
        <v/>
      </c>
    </row>
    <row r="323">
      <c r="A323" s="8" t="n"/>
      <c r="B323" s="13" t="n"/>
      <c r="C323" s="13" t="n"/>
      <c r="D323" s="11" t="n"/>
      <c r="E323" s="7">
        <f>IF(A323="","",IF(OR(A323&lt;TaxStart,A323&gt;TaxEnd),"Outside tax year",IF(A323&lt;DATE(YEAR(TaxStart),7,6),"Q1",IF(A323&lt;DATE(YEAR(TaxStart),10,6),"Q2",IF(A323&lt;DATE(YEAR(TaxStart)+1,1,6),"Q3","Q4")))))</f>
        <v/>
      </c>
    </row>
    <row r="324">
      <c r="A324" s="8" t="n"/>
      <c r="B324" s="13" t="n"/>
      <c r="C324" s="13" t="n"/>
      <c r="D324" s="11" t="n"/>
      <c r="E324" s="7">
        <f>IF(A324="","",IF(OR(A324&lt;TaxStart,A324&gt;TaxEnd),"Outside tax year",IF(A324&lt;DATE(YEAR(TaxStart),7,6),"Q1",IF(A324&lt;DATE(YEAR(TaxStart),10,6),"Q2",IF(A324&lt;DATE(YEAR(TaxStart)+1,1,6),"Q3","Q4")))))</f>
        <v/>
      </c>
    </row>
    <row r="325">
      <c r="A325" s="8" t="n"/>
      <c r="B325" s="13" t="n"/>
      <c r="C325" s="13" t="n"/>
      <c r="D325" s="11" t="n"/>
      <c r="E325" s="7">
        <f>IF(A325="","",IF(OR(A325&lt;TaxStart,A325&gt;TaxEnd),"Outside tax year",IF(A325&lt;DATE(YEAR(TaxStart),7,6),"Q1",IF(A325&lt;DATE(YEAR(TaxStart),10,6),"Q2",IF(A325&lt;DATE(YEAR(TaxStart)+1,1,6),"Q3","Q4")))))</f>
        <v/>
      </c>
    </row>
    <row r="326">
      <c r="A326" s="8" t="n"/>
      <c r="B326" s="13" t="n"/>
      <c r="C326" s="13" t="n"/>
      <c r="D326" s="11" t="n"/>
      <c r="E326" s="7">
        <f>IF(A326="","",IF(OR(A326&lt;TaxStart,A326&gt;TaxEnd),"Outside tax year",IF(A326&lt;DATE(YEAR(TaxStart),7,6),"Q1",IF(A326&lt;DATE(YEAR(TaxStart),10,6),"Q2",IF(A326&lt;DATE(YEAR(TaxStart)+1,1,6),"Q3","Q4")))))</f>
        <v/>
      </c>
    </row>
    <row r="327">
      <c r="A327" s="8" t="n"/>
      <c r="B327" s="13" t="n"/>
      <c r="C327" s="13" t="n"/>
      <c r="D327" s="11" t="n"/>
      <c r="E327" s="7">
        <f>IF(A327="","",IF(OR(A327&lt;TaxStart,A327&gt;TaxEnd),"Outside tax year",IF(A327&lt;DATE(YEAR(TaxStart),7,6),"Q1",IF(A327&lt;DATE(YEAR(TaxStart),10,6),"Q2",IF(A327&lt;DATE(YEAR(TaxStart)+1,1,6),"Q3","Q4")))))</f>
        <v/>
      </c>
    </row>
    <row r="328">
      <c r="A328" s="8" t="n"/>
      <c r="B328" s="13" t="n"/>
      <c r="C328" s="13" t="n"/>
      <c r="D328" s="11" t="n"/>
      <c r="E328" s="7">
        <f>IF(A328="","",IF(OR(A328&lt;TaxStart,A328&gt;TaxEnd),"Outside tax year",IF(A328&lt;DATE(YEAR(TaxStart),7,6),"Q1",IF(A328&lt;DATE(YEAR(TaxStart),10,6),"Q2",IF(A328&lt;DATE(YEAR(TaxStart)+1,1,6),"Q3","Q4")))))</f>
        <v/>
      </c>
    </row>
    <row r="329">
      <c r="A329" s="8" t="n"/>
      <c r="B329" s="13" t="n"/>
      <c r="C329" s="13" t="n"/>
      <c r="D329" s="11" t="n"/>
      <c r="E329" s="7">
        <f>IF(A329="","",IF(OR(A329&lt;TaxStart,A329&gt;TaxEnd),"Outside tax year",IF(A329&lt;DATE(YEAR(TaxStart),7,6),"Q1",IF(A329&lt;DATE(YEAR(TaxStart),10,6),"Q2",IF(A329&lt;DATE(YEAR(TaxStart)+1,1,6),"Q3","Q4")))))</f>
        <v/>
      </c>
    </row>
    <row r="330">
      <c r="A330" s="8" t="n"/>
      <c r="B330" s="13" t="n"/>
      <c r="C330" s="13" t="n"/>
      <c r="D330" s="11" t="n"/>
      <c r="E330" s="7">
        <f>IF(A330="","",IF(OR(A330&lt;TaxStart,A330&gt;TaxEnd),"Outside tax year",IF(A330&lt;DATE(YEAR(TaxStart),7,6),"Q1",IF(A330&lt;DATE(YEAR(TaxStart),10,6),"Q2",IF(A330&lt;DATE(YEAR(TaxStart)+1,1,6),"Q3","Q4")))))</f>
        <v/>
      </c>
    </row>
    <row r="331">
      <c r="A331" s="8" t="n"/>
      <c r="B331" s="13" t="n"/>
      <c r="C331" s="13" t="n"/>
      <c r="D331" s="11" t="n"/>
      <c r="E331" s="7">
        <f>IF(A331="","",IF(OR(A331&lt;TaxStart,A331&gt;TaxEnd),"Outside tax year",IF(A331&lt;DATE(YEAR(TaxStart),7,6),"Q1",IF(A331&lt;DATE(YEAR(TaxStart),10,6),"Q2",IF(A331&lt;DATE(YEAR(TaxStart)+1,1,6),"Q3","Q4")))))</f>
        <v/>
      </c>
    </row>
    <row r="332">
      <c r="A332" s="8" t="n"/>
      <c r="B332" s="13" t="n"/>
      <c r="C332" s="13" t="n"/>
      <c r="D332" s="11" t="n"/>
      <c r="E332" s="7">
        <f>IF(A332="","",IF(OR(A332&lt;TaxStart,A332&gt;TaxEnd),"Outside tax year",IF(A332&lt;DATE(YEAR(TaxStart),7,6),"Q1",IF(A332&lt;DATE(YEAR(TaxStart),10,6),"Q2",IF(A332&lt;DATE(YEAR(TaxStart)+1,1,6),"Q3","Q4")))))</f>
        <v/>
      </c>
    </row>
    <row r="333">
      <c r="A333" s="8" t="n"/>
      <c r="B333" s="13" t="n"/>
      <c r="C333" s="13" t="n"/>
      <c r="D333" s="11" t="n"/>
      <c r="E333" s="7">
        <f>IF(A333="","",IF(OR(A333&lt;TaxStart,A333&gt;TaxEnd),"Outside tax year",IF(A333&lt;DATE(YEAR(TaxStart),7,6),"Q1",IF(A333&lt;DATE(YEAR(TaxStart),10,6),"Q2",IF(A333&lt;DATE(YEAR(TaxStart)+1,1,6),"Q3","Q4")))))</f>
        <v/>
      </c>
    </row>
    <row r="334">
      <c r="A334" s="8" t="n"/>
      <c r="B334" s="13" t="n"/>
      <c r="C334" s="13" t="n"/>
      <c r="D334" s="11" t="n"/>
      <c r="E334" s="7">
        <f>IF(A334="","",IF(OR(A334&lt;TaxStart,A334&gt;TaxEnd),"Outside tax year",IF(A334&lt;DATE(YEAR(TaxStart),7,6),"Q1",IF(A334&lt;DATE(YEAR(TaxStart),10,6),"Q2",IF(A334&lt;DATE(YEAR(TaxStart)+1,1,6),"Q3","Q4")))))</f>
        <v/>
      </c>
    </row>
    <row r="335">
      <c r="A335" s="8" t="n"/>
      <c r="B335" s="13" t="n"/>
      <c r="C335" s="13" t="n"/>
      <c r="D335" s="11" t="n"/>
      <c r="E335" s="7">
        <f>IF(A335="","",IF(OR(A335&lt;TaxStart,A335&gt;TaxEnd),"Outside tax year",IF(A335&lt;DATE(YEAR(TaxStart),7,6),"Q1",IF(A335&lt;DATE(YEAR(TaxStart),10,6),"Q2",IF(A335&lt;DATE(YEAR(TaxStart)+1,1,6),"Q3","Q4")))))</f>
        <v/>
      </c>
    </row>
    <row r="336">
      <c r="A336" s="8" t="n"/>
      <c r="B336" s="13" t="n"/>
      <c r="C336" s="13" t="n"/>
      <c r="D336" s="11" t="n"/>
      <c r="E336" s="7">
        <f>IF(A336="","",IF(OR(A336&lt;TaxStart,A336&gt;TaxEnd),"Outside tax year",IF(A336&lt;DATE(YEAR(TaxStart),7,6),"Q1",IF(A336&lt;DATE(YEAR(TaxStart),10,6),"Q2",IF(A336&lt;DATE(YEAR(TaxStart)+1,1,6),"Q3","Q4")))))</f>
        <v/>
      </c>
    </row>
    <row r="337">
      <c r="A337" s="8" t="n"/>
      <c r="B337" s="13" t="n"/>
      <c r="C337" s="13" t="n"/>
      <c r="D337" s="11" t="n"/>
      <c r="E337" s="7">
        <f>IF(A337="","",IF(OR(A337&lt;TaxStart,A337&gt;TaxEnd),"Outside tax year",IF(A337&lt;DATE(YEAR(TaxStart),7,6),"Q1",IF(A337&lt;DATE(YEAR(TaxStart),10,6),"Q2",IF(A337&lt;DATE(YEAR(TaxStart)+1,1,6),"Q3","Q4")))))</f>
        <v/>
      </c>
    </row>
    <row r="338">
      <c r="A338" s="8" t="n"/>
      <c r="B338" s="13" t="n"/>
      <c r="C338" s="13" t="n"/>
      <c r="D338" s="11" t="n"/>
      <c r="E338" s="7">
        <f>IF(A338="","",IF(OR(A338&lt;TaxStart,A338&gt;TaxEnd),"Outside tax year",IF(A338&lt;DATE(YEAR(TaxStart),7,6),"Q1",IF(A338&lt;DATE(YEAR(TaxStart),10,6),"Q2",IF(A338&lt;DATE(YEAR(TaxStart)+1,1,6),"Q3","Q4")))))</f>
        <v/>
      </c>
    </row>
    <row r="339">
      <c r="A339" s="8" t="n"/>
      <c r="B339" s="13" t="n"/>
      <c r="C339" s="13" t="n"/>
      <c r="D339" s="11" t="n"/>
      <c r="E339" s="7">
        <f>IF(A339="","",IF(OR(A339&lt;TaxStart,A339&gt;TaxEnd),"Outside tax year",IF(A339&lt;DATE(YEAR(TaxStart),7,6),"Q1",IF(A339&lt;DATE(YEAR(TaxStart),10,6),"Q2",IF(A339&lt;DATE(YEAR(TaxStart)+1,1,6),"Q3","Q4")))))</f>
        <v/>
      </c>
    </row>
    <row r="340">
      <c r="A340" s="8" t="n"/>
      <c r="B340" s="13" t="n"/>
      <c r="C340" s="13" t="n"/>
      <c r="D340" s="11" t="n"/>
      <c r="E340" s="7">
        <f>IF(A340="","",IF(OR(A340&lt;TaxStart,A340&gt;TaxEnd),"Outside tax year",IF(A340&lt;DATE(YEAR(TaxStart),7,6),"Q1",IF(A340&lt;DATE(YEAR(TaxStart),10,6),"Q2",IF(A340&lt;DATE(YEAR(TaxStart)+1,1,6),"Q3","Q4")))))</f>
        <v/>
      </c>
    </row>
    <row r="341">
      <c r="A341" s="8" t="n"/>
      <c r="B341" s="13" t="n"/>
      <c r="C341" s="13" t="n"/>
      <c r="D341" s="11" t="n"/>
      <c r="E341" s="7">
        <f>IF(A341="","",IF(OR(A341&lt;TaxStart,A341&gt;TaxEnd),"Outside tax year",IF(A341&lt;DATE(YEAR(TaxStart),7,6),"Q1",IF(A341&lt;DATE(YEAR(TaxStart),10,6),"Q2",IF(A341&lt;DATE(YEAR(TaxStart)+1,1,6),"Q3","Q4")))))</f>
        <v/>
      </c>
    </row>
    <row r="342">
      <c r="A342" s="8" t="n"/>
      <c r="B342" s="13" t="n"/>
      <c r="C342" s="13" t="n"/>
      <c r="D342" s="11" t="n"/>
      <c r="E342" s="7">
        <f>IF(A342="","",IF(OR(A342&lt;TaxStart,A342&gt;TaxEnd),"Outside tax year",IF(A342&lt;DATE(YEAR(TaxStart),7,6),"Q1",IF(A342&lt;DATE(YEAR(TaxStart),10,6),"Q2",IF(A342&lt;DATE(YEAR(TaxStart)+1,1,6),"Q3","Q4")))))</f>
        <v/>
      </c>
    </row>
    <row r="343">
      <c r="A343" s="8" t="n"/>
      <c r="B343" s="13" t="n"/>
      <c r="C343" s="13" t="n"/>
      <c r="D343" s="11" t="n"/>
      <c r="E343" s="7">
        <f>IF(A343="","",IF(OR(A343&lt;TaxStart,A343&gt;TaxEnd),"Outside tax year",IF(A343&lt;DATE(YEAR(TaxStart),7,6),"Q1",IF(A343&lt;DATE(YEAR(TaxStart),10,6),"Q2",IF(A343&lt;DATE(YEAR(TaxStart)+1,1,6),"Q3","Q4")))))</f>
        <v/>
      </c>
    </row>
    <row r="344">
      <c r="A344" s="8" t="n"/>
      <c r="B344" s="13" t="n"/>
      <c r="C344" s="13" t="n"/>
      <c r="D344" s="11" t="n"/>
      <c r="E344" s="7">
        <f>IF(A344="","",IF(OR(A344&lt;TaxStart,A344&gt;TaxEnd),"Outside tax year",IF(A344&lt;DATE(YEAR(TaxStart),7,6),"Q1",IF(A344&lt;DATE(YEAR(TaxStart),10,6),"Q2",IF(A344&lt;DATE(YEAR(TaxStart)+1,1,6),"Q3","Q4")))))</f>
        <v/>
      </c>
    </row>
    <row r="345">
      <c r="A345" s="8" t="n"/>
      <c r="B345" s="13" t="n"/>
      <c r="C345" s="13" t="n"/>
      <c r="D345" s="11" t="n"/>
      <c r="E345" s="7">
        <f>IF(A345="","",IF(OR(A345&lt;TaxStart,A345&gt;TaxEnd),"Outside tax year",IF(A345&lt;DATE(YEAR(TaxStart),7,6),"Q1",IF(A345&lt;DATE(YEAR(TaxStart),10,6),"Q2",IF(A345&lt;DATE(YEAR(TaxStart)+1,1,6),"Q3","Q4")))))</f>
        <v/>
      </c>
    </row>
    <row r="346">
      <c r="A346" s="8" t="n"/>
      <c r="B346" s="13" t="n"/>
      <c r="C346" s="13" t="n"/>
      <c r="D346" s="11" t="n"/>
      <c r="E346" s="7">
        <f>IF(A346="","",IF(OR(A346&lt;TaxStart,A346&gt;TaxEnd),"Outside tax year",IF(A346&lt;DATE(YEAR(TaxStart),7,6),"Q1",IF(A346&lt;DATE(YEAR(TaxStart),10,6),"Q2",IF(A346&lt;DATE(YEAR(TaxStart)+1,1,6),"Q3","Q4")))))</f>
        <v/>
      </c>
    </row>
    <row r="347">
      <c r="A347" s="8" t="n"/>
      <c r="B347" s="13" t="n"/>
      <c r="C347" s="13" t="n"/>
      <c r="D347" s="11" t="n"/>
      <c r="E347" s="7">
        <f>IF(A347="","",IF(OR(A347&lt;TaxStart,A347&gt;TaxEnd),"Outside tax year",IF(A347&lt;DATE(YEAR(TaxStart),7,6),"Q1",IF(A347&lt;DATE(YEAR(TaxStart),10,6),"Q2",IF(A347&lt;DATE(YEAR(TaxStart)+1,1,6),"Q3","Q4")))))</f>
        <v/>
      </c>
    </row>
    <row r="348">
      <c r="A348" s="8" t="n"/>
      <c r="B348" s="13" t="n"/>
      <c r="C348" s="13" t="n"/>
      <c r="D348" s="11" t="n"/>
      <c r="E348" s="7">
        <f>IF(A348="","",IF(OR(A348&lt;TaxStart,A348&gt;TaxEnd),"Outside tax year",IF(A348&lt;DATE(YEAR(TaxStart),7,6),"Q1",IF(A348&lt;DATE(YEAR(TaxStart),10,6),"Q2",IF(A348&lt;DATE(YEAR(TaxStart)+1,1,6),"Q3","Q4")))))</f>
        <v/>
      </c>
    </row>
    <row r="349">
      <c r="A349" s="8" t="n"/>
      <c r="B349" s="13" t="n"/>
      <c r="C349" s="13" t="n"/>
      <c r="D349" s="11" t="n"/>
      <c r="E349" s="7">
        <f>IF(A349="","",IF(OR(A349&lt;TaxStart,A349&gt;TaxEnd),"Outside tax year",IF(A349&lt;DATE(YEAR(TaxStart),7,6),"Q1",IF(A349&lt;DATE(YEAR(TaxStart),10,6),"Q2",IF(A349&lt;DATE(YEAR(TaxStart)+1,1,6),"Q3","Q4")))))</f>
        <v/>
      </c>
    </row>
    <row r="350">
      <c r="A350" s="8" t="n"/>
      <c r="B350" s="13" t="n"/>
      <c r="C350" s="13" t="n"/>
      <c r="D350" s="11" t="n"/>
      <c r="E350" s="7">
        <f>IF(A350="","",IF(OR(A350&lt;TaxStart,A350&gt;TaxEnd),"Outside tax year",IF(A350&lt;DATE(YEAR(TaxStart),7,6),"Q1",IF(A350&lt;DATE(YEAR(TaxStart),10,6),"Q2",IF(A350&lt;DATE(YEAR(TaxStart)+1,1,6),"Q3","Q4")))))</f>
        <v/>
      </c>
    </row>
    <row r="351">
      <c r="A351" s="8" t="n"/>
      <c r="B351" s="13" t="n"/>
      <c r="C351" s="13" t="n"/>
      <c r="D351" s="11" t="n"/>
      <c r="E351" s="7">
        <f>IF(A351="","",IF(OR(A351&lt;TaxStart,A351&gt;TaxEnd),"Outside tax year",IF(A351&lt;DATE(YEAR(TaxStart),7,6),"Q1",IF(A351&lt;DATE(YEAR(TaxStart),10,6),"Q2",IF(A351&lt;DATE(YEAR(TaxStart)+1,1,6),"Q3","Q4")))))</f>
        <v/>
      </c>
    </row>
    <row r="352">
      <c r="A352" s="8" t="n"/>
      <c r="B352" s="13" t="n"/>
      <c r="C352" s="13" t="n"/>
      <c r="D352" s="11" t="n"/>
      <c r="E352" s="7">
        <f>IF(A352="","",IF(OR(A352&lt;TaxStart,A352&gt;TaxEnd),"Outside tax year",IF(A352&lt;DATE(YEAR(TaxStart),7,6),"Q1",IF(A352&lt;DATE(YEAR(TaxStart),10,6),"Q2",IF(A352&lt;DATE(YEAR(TaxStart)+1,1,6),"Q3","Q4")))))</f>
        <v/>
      </c>
    </row>
    <row r="353">
      <c r="A353" s="8" t="n"/>
      <c r="B353" s="13" t="n"/>
      <c r="C353" s="13" t="n"/>
      <c r="D353" s="11" t="n"/>
      <c r="E353" s="7">
        <f>IF(A353="","",IF(OR(A353&lt;TaxStart,A353&gt;TaxEnd),"Outside tax year",IF(A353&lt;DATE(YEAR(TaxStart),7,6),"Q1",IF(A353&lt;DATE(YEAR(TaxStart),10,6),"Q2",IF(A353&lt;DATE(YEAR(TaxStart)+1,1,6),"Q3","Q4")))))</f>
        <v/>
      </c>
    </row>
    <row r="354">
      <c r="A354" s="8" t="n"/>
      <c r="B354" s="13" t="n"/>
      <c r="C354" s="13" t="n"/>
      <c r="D354" s="11" t="n"/>
      <c r="E354" s="7">
        <f>IF(A354="","",IF(OR(A354&lt;TaxStart,A354&gt;TaxEnd),"Outside tax year",IF(A354&lt;DATE(YEAR(TaxStart),7,6),"Q1",IF(A354&lt;DATE(YEAR(TaxStart),10,6),"Q2",IF(A354&lt;DATE(YEAR(TaxStart)+1,1,6),"Q3","Q4")))))</f>
        <v/>
      </c>
    </row>
    <row r="355">
      <c r="A355" s="8" t="n"/>
      <c r="B355" s="13" t="n"/>
      <c r="C355" s="13" t="n"/>
      <c r="D355" s="11" t="n"/>
      <c r="E355" s="7">
        <f>IF(A355="","",IF(OR(A355&lt;TaxStart,A355&gt;TaxEnd),"Outside tax year",IF(A355&lt;DATE(YEAR(TaxStart),7,6),"Q1",IF(A355&lt;DATE(YEAR(TaxStart),10,6),"Q2",IF(A355&lt;DATE(YEAR(TaxStart)+1,1,6),"Q3","Q4")))))</f>
        <v/>
      </c>
    </row>
    <row r="356">
      <c r="A356" s="8" t="n"/>
      <c r="B356" s="13" t="n"/>
      <c r="C356" s="13" t="n"/>
      <c r="D356" s="11" t="n"/>
      <c r="E356" s="7">
        <f>IF(A356="","",IF(OR(A356&lt;TaxStart,A356&gt;TaxEnd),"Outside tax year",IF(A356&lt;DATE(YEAR(TaxStart),7,6),"Q1",IF(A356&lt;DATE(YEAR(TaxStart),10,6),"Q2",IF(A356&lt;DATE(YEAR(TaxStart)+1,1,6),"Q3","Q4")))))</f>
        <v/>
      </c>
    </row>
    <row r="357">
      <c r="A357" s="8" t="n"/>
      <c r="B357" s="13" t="n"/>
      <c r="C357" s="13" t="n"/>
      <c r="D357" s="11" t="n"/>
      <c r="E357" s="7">
        <f>IF(A357="","",IF(OR(A357&lt;TaxStart,A357&gt;TaxEnd),"Outside tax year",IF(A357&lt;DATE(YEAR(TaxStart),7,6),"Q1",IF(A357&lt;DATE(YEAR(TaxStart),10,6),"Q2",IF(A357&lt;DATE(YEAR(TaxStart)+1,1,6),"Q3","Q4")))))</f>
        <v/>
      </c>
    </row>
    <row r="358">
      <c r="A358" s="8" t="n"/>
      <c r="B358" s="13" t="n"/>
      <c r="C358" s="13" t="n"/>
      <c r="D358" s="11" t="n"/>
      <c r="E358" s="7">
        <f>IF(A358="","",IF(OR(A358&lt;TaxStart,A358&gt;TaxEnd),"Outside tax year",IF(A358&lt;DATE(YEAR(TaxStart),7,6),"Q1",IF(A358&lt;DATE(YEAR(TaxStart),10,6),"Q2",IF(A358&lt;DATE(YEAR(TaxStart)+1,1,6),"Q3","Q4")))))</f>
        <v/>
      </c>
    </row>
    <row r="359">
      <c r="A359" s="8" t="n"/>
      <c r="B359" s="13" t="n"/>
      <c r="C359" s="13" t="n"/>
      <c r="D359" s="11" t="n"/>
      <c r="E359" s="7">
        <f>IF(A359="","",IF(OR(A359&lt;TaxStart,A359&gt;TaxEnd),"Outside tax year",IF(A359&lt;DATE(YEAR(TaxStart),7,6),"Q1",IF(A359&lt;DATE(YEAR(TaxStart),10,6),"Q2",IF(A359&lt;DATE(YEAR(TaxStart)+1,1,6),"Q3","Q4")))))</f>
        <v/>
      </c>
    </row>
    <row r="360">
      <c r="A360" s="8" t="n"/>
      <c r="B360" s="13" t="n"/>
      <c r="C360" s="13" t="n"/>
      <c r="D360" s="11" t="n"/>
      <c r="E360" s="7">
        <f>IF(A360="","",IF(OR(A360&lt;TaxStart,A360&gt;TaxEnd),"Outside tax year",IF(A360&lt;DATE(YEAR(TaxStart),7,6),"Q1",IF(A360&lt;DATE(YEAR(TaxStart),10,6),"Q2",IF(A360&lt;DATE(YEAR(TaxStart)+1,1,6),"Q3","Q4")))))</f>
        <v/>
      </c>
    </row>
    <row r="361">
      <c r="A361" s="8" t="n"/>
      <c r="B361" s="13" t="n"/>
      <c r="C361" s="13" t="n"/>
      <c r="D361" s="11" t="n"/>
      <c r="E361" s="7">
        <f>IF(A361="","",IF(OR(A361&lt;TaxStart,A361&gt;TaxEnd),"Outside tax year",IF(A361&lt;DATE(YEAR(TaxStart),7,6),"Q1",IF(A361&lt;DATE(YEAR(TaxStart),10,6),"Q2",IF(A361&lt;DATE(YEAR(TaxStart)+1,1,6),"Q3","Q4")))))</f>
        <v/>
      </c>
    </row>
    <row r="362">
      <c r="A362" s="8" t="n"/>
      <c r="B362" s="13" t="n"/>
      <c r="C362" s="13" t="n"/>
      <c r="D362" s="11" t="n"/>
      <c r="E362" s="7">
        <f>IF(A362="","",IF(OR(A362&lt;TaxStart,A362&gt;TaxEnd),"Outside tax year",IF(A362&lt;DATE(YEAR(TaxStart),7,6),"Q1",IF(A362&lt;DATE(YEAR(TaxStart),10,6),"Q2",IF(A362&lt;DATE(YEAR(TaxStart)+1,1,6),"Q3","Q4")))))</f>
        <v/>
      </c>
    </row>
    <row r="363">
      <c r="A363" s="8" t="n"/>
      <c r="B363" s="13" t="n"/>
      <c r="C363" s="13" t="n"/>
      <c r="D363" s="11" t="n"/>
      <c r="E363" s="7">
        <f>IF(A363="","",IF(OR(A363&lt;TaxStart,A363&gt;TaxEnd),"Outside tax year",IF(A363&lt;DATE(YEAR(TaxStart),7,6),"Q1",IF(A363&lt;DATE(YEAR(TaxStart),10,6),"Q2",IF(A363&lt;DATE(YEAR(TaxStart)+1,1,6),"Q3","Q4")))))</f>
        <v/>
      </c>
    </row>
    <row r="364">
      <c r="A364" s="8" t="n"/>
      <c r="B364" s="13" t="n"/>
      <c r="C364" s="13" t="n"/>
      <c r="D364" s="11" t="n"/>
      <c r="E364" s="7">
        <f>IF(A364="","",IF(OR(A364&lt;TaxStart,A364&gt;TaxEnd),"Outside tax year",IF(A364&lt;DATE(YEAR(TaxStart),7,6),"Q1",IF(A364&lt;DATE(YEAR(TaxStart),10,6),"Q2",IF(A364&lt;DATE(YEAR(TaxStart)+1,1,6),"Q3","Q4")))))</f>
        <v/>
      </c>
    </row>
    <row r="365">
      <c r="A365" s="8" t="n"/>
      <c r="B365" s="13" t="n"/>
      <c r="C365" s="13" t="n"/>
      <c r="D365" s="11" t="n"/>
      <c r="E365" s="7">
        <f>IF(A365="","",IF(OR(A365&lt;TaxStart,A365&gt;TaxEnd),"Outside tax year",IF(A365&lt;DATE(YEAR(TaxStart),7,6),"Q1",IF(A365&lt;DATE(YEAR(TaxStart),10,6),"Q2",IF(A365&lt;DATE(YEAR(TaxStart)+1,1,6),"Q3","Q4")))))</f>
        <v/>
      </c>
    </row>
    <row r="366">
      <c r="A366" s="8" t="n"/>
      <c r="B366" s="13" t="n"/>
      <c r="C366" s="13" t="n"/>
      <c r="D366" s="11" t="n"/>
      <c r="E366" s="7">
        <f>IF(A366="","",IF(OR(A366&lt;TaxStart,A366&gt;TaxEnd),"Outside tax year",IF(A366&lt;DATE(YEAR(TaxStart),7,6),"Q1",IF(A366&lt;DATE(YEAR(TaxStart),10,6),"Q2",IF(A366&lt;DATE(YEAR(TaxStart)+1,1,6),"Q3","Q4")))))</f>
        <v/>
      </c>
    </row>
    <row r="367">
      <c r="A367" s="8" t="n"/>
      <c r="B367" s="13" t="n"/>
      <c r="C367" s="13" t="n"/>
      <c r="D367" s="11" t="n"/>
      <c r="E367" s="7">
        <f>IF(A367="","",IF(OR(A367&lt;TaxStart,A367&gt;TaxEnd),"Outside tax year",IF(A367&lt;DATE(YEAR(TaxStart),7,6),"Q1",IF(A367&lt;DATE(YEAR(TaxStart),10,6),"Q2",IF(A367&lt;DATE(YEAR(TaxStart)+1,1,6),"Q3","Q4")))))</f>
        <v/>
      </c>
    </row>
    <row r="368">
      <c r="A368" s="8" t="n"/>
      <c r="B368" s="13" t="n"/>
      <c r="C368" s="13" t="n"/>
      <c r="D368" s="11" t="n"/>
      <c r="E368" s="7">
        <f>IF(A368="","",IF(OR(A368&lt;TaxStart,A368&gt;TaxEnd),"Outside tax year",IF(A368&lt;DATE(YEAR(TaxStart),7,6),"Q1",IF(A368&lt;DATE(YEAR(TaxStart),10,6),"Q2",IF(A368&lt;DATE(YEAR(TaxStart)+1,1,6),"Q3","Q4")))))</f>
        <v/>
      </c>
    </row>
    <row r="369">
      <c r="A369" s="8" t="n"/>
      <c r="B369" s="13" t="n"/>
      <c r="C369" s="13" t="n"/>
      <c r="D369" s="11" t="n"/>
      <c r="E369" s="7">
        <f>IF(A369="","",IF(OR(A369&lt;TaxStart,A369&gt;TaxEnd),"Outside tax year",IF(A369&lt;DATE(YEAR(TaxStart),7,6),"Q1",IF(A369&lt;DATE(YEAR(TaxStart),10,6),"Q2",IF(A369&lt;DATE(YEAR(TaxStart)+1,1,6),"Q3","Q4")))))</f>
        <v/>
      </c>
    </row>
    <row r="370">
      <c r="A370" s="8" t="n"/>
      <c r="B370" s="13" t="n"/>
      <c r="C370" s="13" t="n"/>
      <c r="D370" s="11" t="n"/>
      <c r="E370" s="7">
        <f>IF(A370="","",IF(OR(A370&lt;TaxStart,A370&gt;TaxEnd),"Outside tax year",IF(A370&lt;DATE(YEAR(TaxStart),7,6),"Q1",IF(A370&lt;DATE(YEAR(TaxStart),10,6),"Q2",IF(A370&lt;DATE(YEAR(TaxStart)+1,1,6),"Q3","Q4")))))</f>
        <v/>
      </c>
    </row>
    <row r="371">
      <c r="A371" s="8" t="n"/>
      <c r="B371" s="13" t="n"/>
      <c r="C371" s="13" t="n"/>
      <c r="D371" s="11" t="n"/>
      <c r="E371" s="7">
        <f>IF(A371="","",IF(OR(A371&lt;TaxStart,A371&gt;TaxEnd),"Outside tax year",IF(A371&lt;DATE(YEAR(TaxStart),7,6),"Q1",IF(A371&lt;DATE(YEAR(TaxStart),10,6),"Q2",IF(A371&lt;DATE(YEAR(TaxStart)+1,1,6),"Q3","Q4")))))</f>
        <v/>
      </c>
    </row>
    <row r="372">
      <c r="A372" s="8" t="n"/>
      <c r="B372" s="13" t="n"/>
      <c r="C372" s="13" t="n"/>
      <c r="D372" s="11" t="n"/>
      <c r="E372" s="7">
        <f>IF(A372="","",IF(OR(A372&lt;TaxStart,A372&gt;TaxEnd),"Outside tax year",IF(A372&lt;DATE(YEAR(TaxStart),7,6),"Q1",IF(A372&lt;DATE(YEAR(TaxStart),10,6),"Q2",IF(A372&lt;DATE(YEAR(TaxStart)+1,1,6),"Q3","Q4")))))</f>
        <v/>
      </c>
    </row>
    <row r="373">
      <c r="A373" s="8" t="n"/>
      <c r="B373" s="13" t="n"/>
      <c r="C373" s="13" t="n"/>
      <c r="D373" s="11" t="n"/>
      <c r="E373" s="7">
        <f>IF(A373="","",IF(OR(A373&lt;TaxStart,A373&gt;TaxEnd),"Outside tax year",IF(A373&lt;DATE(YEAR(TaxStart),7,6),"Q1",IF(A373&lt;DATE(YEAR(TaxStart),10,6),"Q2",IF(A373&lt;DATE(YEAR(TaxStart)+1,1,6),"Q3","Q4")))))</f>
        <v/>
      </c>
    </row>
    <row r="374">
      <c r="A374" s="8" t="n"/>
      <c r="B374" s="13" t="n"/>
      <c r="C374" s="13" t="n"/>
      <c r="D374" s="11" t="n"/>
      <c r="E374" s="7">
        <f>IF(A374="","",IF(OR(A374&lt;TaxStart,A374&gt;TaxEnd),"Outside tax year",IF(A374&lt;DATE(YEAR(TaxStart),7,6),"Q1",IF(A374&lt;DATE(YEAR(TaxStart),10,6),"Q2",IF(A374&lt;DATE(YEAR(TaxStart)+1,1,6),"Q3","Q4")))))</f>
        <v/>
      </c>
    </row>
    <row r="375">
      <c r="A375" s="8" t="n"/>
      <c r="B375" s="13" t="n"/>
      <c r="C375" s="13" t="n"/>
      <c r="D375" s="11" t="n"/>
      <c r="E375" s="7">
        <f>IF(A375="","",IF(OR(A375&lt;TaxStart,A375&gt;TaxEnd),"Outside tax year",IF(A375&lt;DATE(YEAR(TaxStart),7,6),"Q1",IF(A375&lt;DATE(YEAR(TaxStart),10,6),"Q2",IF(A375&lt;DATE(YEAR(TaxStart)+1,1,6),"Q3","Q4")))))</f>
        <v/>
      </c>
    </row>
    <row r="376">
      <c r="A376" s="8" t="n"/>
      <c r="B376" s="13" t="n"/>
      <c r="C376" s="13" t="n"/>
      <c r="D376" s="11" t="n"/>
      <c r="E376" s="7">
        <f>IF(A376="","",IF(OR(A376&lt;TaxStart,A376&gt;TaxEnd),"Outside tax year",IF(A376&lt;DATE(YEAR(TaxStart),7,6),"Q1",IF(A376&lt;DATE(YEAR(TaxStart),10,6),"Q2",IF(A376&lt;DATE(YEAR(TaxStart)+1,1,6),"Q3","Q4")))))</f>
        <v/>
      </c>
    </row>
    <row r="377">
      <c r="A377" s="8" t="n"/>
      <c r="B377" s="13" t="n"/>
      <c r="C377" s="13" t="n"/>
      <c r="D377" s="11" t="n"/>
      <c r="E377" s="7">
        <f>IF(A377="","",IF(OR(A377&lt;TaxStart,A377&gt;TaxEnd),"Outside tax year",IF(A377&lt;DATE(YEAR(TaxStart),7,6),"Q1",IF(A377&lt;DATE(YEAR(TaxStart),10,6),"Q2",IF(A377&lt;DATE(YEAR(TaxStart)+1,1,6),"Q3","Q4")))))</f>
        <v/>
      </c>
    </row>
    <row r="378">
      <c r="A378" s="8" t="n"/>
      <c r="B378" s="13" t="n"/>
      <c r="C378" s="13" t="n"/>
      <c r="D378" s="11" t="n"/>
      <c r="E378" s="7">
        <f>IF(A378="","",IF(OR(A378&lt;TaxStart,A378&gt;TaxEnd),"Outside tax year",IF(A378&lt;DATE(YEAR(TaxStart),7,6),"Q1",IF(A378&lt;DATE(YEAR(TaxStart),10,6),"Q2",IF(A378&lt;DATE(YEAR(TaxStart)+1,1,6),"Q3","Q4")))))</f>
        <v/>
      </c>
    </row>
    <row r="379">
      <c r="A379" s="8" t="n"/>
      <c r="B379" s="13" t="n"/>
      <c r="C379" s="13" t="n"/>
      <c r="D379" s="11" t="n"/>
      <c r="E379" s="7">
        <f>IF(A379="","",IF(OR(A379&lt;TaxStart,A379&gt;TaxEnd),"Outside tax year",IF(A379&lt;DATE(YEAR(TaxStart),7,6),"Q1",IF(A379&lt;DATE(YEAR(TaxStart),10,6),"Q2",IF(A379&lt;DATE(YEAR(TaxStart)+1,1,6),"Q3","Q4")))))</f>
        <v/>
      </c>
    </row>
    <row r="380">
      <c r="A380" s="8" t="n"/>
      <c r="B380" s="13" t="n"/>
      <c r="C380" s="13" t="n"/>
      <c r="D380" s="11" t="n"/>
      <c r="E380" s="7">
        <f>IF(A380="","",IF(OR(A380&lt;TaxStart,A380&gt;TaxEnd),"Outside tax year",IF(A380&lt;DATE(YEAR(TaxStart),7,6),"Q1",IF(A380&lt;DATE(YEAR(TaxStart),10,6),"Q2",IF(A380&lt;DATE(YEAR(TaxStart)+1,1,6),"Q3","Q4")))))</f>
        <v/>
      </c>
    </row>
    <row r="381">
      <c r="A381" s="8" t="n"/>
      <c r="B381" s="13" t="n"/>
      <c r="C381" s="13" t="n"/>
      <c r="D381" s="11" t="n"/>
      <c r="E381" s="7">
        <f>IF(A381="","",IF(OR(A381&lt;TaxStart,A381&gt;TaxEnd),"Outside tax year",IF(A381&lt;DATE(YEAR(TaxStart),7,6),"Q1",IF(A381&lt;DATE(YEAR(TaxStart),10,6),"Q2",IF(A381&lt;DATE(YEAR(TaxStart)+1,1,6),"Q3","Q4")))))</f>
        <v/>
      </c>
    </row>
    <row r="382">
      <c r="A382" s="8" t="n"/>
      <c r="B382" s="13" t="n"/>
      <c r="C382" s="13" t="n"/>
      <c r="D382" s="11" t="n"/>
      <c r="E382" s="7">
        <f>IF(A382="","",IF(OR(A382&lt;TaxStart,A382&gt;TaxEnd),"Outside tax year",IF(A382&lt;DATE(YEAR(TaxStart),7,6),"Q1",IF(A382&lt;DATE(YEAR(TaxStart),10,6),"Q2",IF(A382&lt;DATE(YEAR(TaxStart)+1,1,6),"Q3","Q4")))))</f>
        <v/>
      </c>
    </row>
    <row r="383">
      <c r="A383" s="8" t="n"/>
      <c r="B383" s="13" t="n"/>
      <c r="C383" s="13" t="n"/>
      <c r="D383" s="11" t="n"/>
      <c r="E383" s="7">
        <f>IF(A383="","",IF(OR(A383&lt;TaxStart,A383&gt;TaxEnd),"Outside tax year",IF(A383&lt;DATE(YEAR(TaxStart),7,6),"Q1",IF(A383&lt;DATE(YEAR(TaxStart),10,6),"Q2",IF(A383&lt;DATE(YEAR(TaxStart)+1,1,6),"Q3","Q4")))))</f>
        <v/>
      </c>
    </row>
    <row r="384">
      <c r="A384" s="8" t="n"/>
      <c r="B384" s="13" t="n"/>
      <c r="C384" s="13" t="n"/>
      <c r="D384" s="11" t="n"/>
      <c r="E384" s="7">
        <f>IF(A384="","",IF(OR(A384&lt;TaxStart,A384&gt;TaxEnd),"Outside tax year",IF(A384&lt;DATE(YEAR(TaxStart),7,6),"Q1",IF(A384&lt;DATE(YEAR(TaxStart),10,6),"Q2",IF(A384&lt;DATE(YEAR(TaxStart)+1,1,6),"Q3","Q4")))))</f>
        <v/>
      </c>
    </row>
    <row r="385">
      <c r="A385" s="8" t="n"/>
      <c r="B385" s="13" t="n"/>
      <c r="C385" s="13" t="n"/>
      <c r="D385" s="11" t="n"/>
      <c r="E385" s="7">
        <f>IF(A385="","",IF(OR(A385&lt;TaxStart,A385&gt;TaxEnd),"Outside tax year",IF(A385&lt;DATE(YEAR(TaxStart),7,6),"Q1",IF(A385&lt;DATE(YEAR(TaxStart),10,6),"Q2",IF(A385&lt;DATE(YEAR(TaxStart)+1,1,6),"Q3","Q4")))))</f>
        <v/>
      </c>
    </row>
    <row r="386">
      <c r="A386" s="8" t="n"/>
      <c r="B386" s="13" t="n"/>
      <c r="C386" s="13" t="n"/>
      <c r="D386" s="11" t="n"/>
      <c r="E386" s="7">
        <f>IF(A386="","",IF(OR(A386&lt;TaxStart,A386&gt;TaxEnd),"Outside tax year",IF(A386&lt;DATE(YEAR(TaxStart),7,6),"Q1",IF(A386&lt;DATE(YEAR(TaxStart),10,6),"Q2",IF(A386&lt;DATE(YEAR(TaxStart)+1,1,6),"Q3","Q4")))))</f>
        <v/>
      </c>
    </row>
    <row r="387">
      <c r="A387" s="8" t="n"/>
      <c r="B387" s="13" t="n"/>
      <c r="C387" s="13" t="n"/>
      <c r="D387" s="11" t="n"/>
      <c r="E387" s="7">
        <f>IF(A387="","",IF(OR(A387&lt;TaxStart,A387&gt;TaxEnd),"Outside tax year",IF(A387&lt;DATE(YEAR(TaxStart),7,6),"Q1",IF(A387&lt;DATE(YEAR(TaxStart),10,6),"Q2",IF(A387&lt;DATE(YEAR(TaxStart)+1,1,6),"Q3","Q4")))))</f>
        <v/>
      </c>
    </row>
    <row r="388">
      <c r="A388" s="8" t="n"/>
      <c r="B388" s="13" t="n"/>
      <c r="C388" s="13" t="n"/>
      <c r="D388" s="11" t="n"/>
      <c r="E388" s="7">
        <f>IF(A388="","",IF(OR(A388&lt;TaxStart,A388&gt;TaxEnd),"Outside tax year",IF(A388&lt;DATE(YEAR(TaxStart),7,6),"Q1",IF(A388&lt;DATE(YEAR(TaxStart),10,6),"Q2",IF(A388&lt;DATE(YEAR(TaxStart)+1,1,6),"Q3","Q4")))))</f>
        <v/>
      </c>
    </row>
    <row r="389">
      <c r="A389" s="8" t="n"/>
      <c r="B389" s="13" t="n"/>
      <c r="C389" s="13" t="n"/>
      <c r="D389" s="11" t="n"/>
      <c r="E389" s="7">
        <f>IF(A389="","",IF(OR(A389&lt;TaxStart,A389&gt;TaxEnd),"Outside tax year",IF(A389&lt;DATE(YEAR(TaxStart),7,6),"Q1",IF(A389&lt;DATE(YEAR(TaxStart),10,6),"Q2",IF(A389&lt;DATE(YEAR(TaxStart)+1,1,6),"Q3","Q4")))))</f>
        <v/>
      </c>
    </row>
    <row r="390">
      <c r="A390" s="8" t="n"/>
      <c r="B390" s="13" t="n"/>
      <c r="C390" s="13" t="n"/>
      <c r="D390" s="11" t="n"/>
      <c r="E390" s="7">
        <f>IF(A390="","",IF(OR(A390&lt;TaxStart,A390&gt;TaxEnd),"Outside tax year",IF(A390&lt;DATE(YEAR(TaxStart),7,6),"Q1",IF(A390&lt;DATE(YEAR(TaxStart),10,6),"Q2",IF(A390&lt;DATE(YEAR(TaxStart)+1,1,6),"Q3","Q4")))))</f>
        <v/>
      </c>
    </row>
    <row r="391">
      <c r="A391" s="8" t="n"/>
      <c r="B391" s="13" t="n"/>
      <c r="C391" s="13" t="n"/>
      <c r="D391" s="11" t="n"/>
      <c r="E391" s="7">
        <f>IF(A391="","",IF(OR(A391&lt;TaxStart,A391&gt;TaxEnd),"Outside tax year",IF(A391&lt;DATE(YEAR(TaxStart),7,6),"Q1",IF(A391&lt;DATE(YEAR(TaxStart),10,6),"Q2",IF(A391&lt;DATE(YEAR(TaxStart)+1,1,6),"Q3","Q4")))))</f>
        <v/>
      </c>
    </row>
    <row r="392">
      <c r="A392" s="8" t="n"/>
      <c r="B392" s="13" t="n"/>
      <c r="C392" s="13" t="n"/>
      <c r="D392" s="11" t="n"/>
      <c r="E392" s="7">
        <f>IF(A392="","",IF(OR(A392&lt;TaxStart,A392&gt;TaxEnd),"Outside tax year",IF(A392&lt;DATE(YEAR(TaxStart),7,6),"Q1",IF(A392&lt;DATE(YEAR(TaxStart),10,6),"Q2",IF(A392&lt;DATE(YEAR(TaxStart)+1,1,6),"Q3","Q4")))))</f>
        <v/>
      </c>
    </row>
    <row r="393">
      <c r="A393" s="8" t="n"/>
      <c r="B393" s="13" t="n"/>
      <c r="C393" s="13" t="n"/>
      <c r="D393" s="11" t="n"/>
      <c r="E393" s="7">
        <f>IF(A393="","",IF(OR(A393&lt;TaxStart,A393&gt;TaxEnd),"Outside tax year",IF(A393&lt;DATE(YEAR(TaxStart),7,6),"Q1",IF(A393&lt;DATE(YEAR(TaxStart),10,6),"Q2",IF(A393&lt;DATE(YEAR(TaxStart)+1,1,6),"Q3","Q4")))))</f>
        <v/>
      </c>
    </row>
    <row r="394">
      <c r="A394" s="8" t="n"/>
      <c r="B394" s="13" t="n"/>
      <c r="C394" s="13" t="n"/>
      <c r="D394" s="11" t="n"/>
      <c r="E394" s="7">
        <f>IF(A394="","",IF(OR(A394&lt;TaxStart,A394&gt;TaxEnd),"Outside tax year",IF(A394&lt;DATE(YEAR(TaxStart),7,6),"Q1",IF(A394&lt;DATE(YEAR(TaxStart),10,6),"Q2",IF(A394&lt;DATE(YEAR(TaxStart)+1,1,6),"Q3","Q4")))))</f>
        <v/>
      </c>
    </row>
    <row r="395">
      <c r="A395" s="8" t="n"/>
      <c r="B395" s="13" t="n"/>
      <c r="C395" s="13" t="n"/>
      <c r="D395" s="11" t="n"/>
      <c r="E395" s="7">
        <f>IF(A395="","",IF(OR(A395&lt;TaxStart,A395&gt;TaxEnd),"Outside tax year",IF(A395&lt;DATE(YEAR(TaxStart),7,6),"Q1",IF(A395&lt;DATE(YEAR(TaxStart),10,6),"Q2",IF(A395&lt;DATE(YEAR(TaxStart)+1,1,6),"Q3","Q4")))))</f>
        <v/>
      </c>
    </row>
    <row r="396">
      <c r="A396" s="8" t="n"/>
      <c r="B396" s="13" t="n"/>
      <c r="C396" s="13" t="n"/>
      <c r="D396" s="11" t="n"/>
      <c r="E396" s="7">
        <f>IF(A396="","",IF(OR(A396&lt;TaxStart,A396&gt;TaxEnd),"Outside tax year",IF(A396&lt;DATE(YEAR(TaxStart),7,6),"Q1",IF(A396&lt;DATE(YEAR(TaxStart),10,6),"Q2",IF(A396&lt;DATE(YEAR(TaxStart)+1,1,6),"Q3","Q4")))))</f>
        <v/>
      </c>
    </row>
    <row r="397">
      <c r="A397" s="8" t="n"/>
      <c r="B397" s="13" t="n"/>
      <c r="C397" s="13" t="n"/>
      <c r="D397" s="11" t="n"/>
      <c r="E397" s="7">
        <f>IF(A397="","",IF(OR(A397&lt;TaxStart,A397&gt;TaxEnd),"Outside tax year",IF(A397&lt;DATE(YEAR(TaxStart),7,6),"Q1",IF(A397&lt;DATE(YEAR(TaxStart),10,6),"Q2",IF(A397&lt;DATE(YEAR(TaxStart)+1,1,6),"Q3","Q4")))))</f>
        <v/>
      </c>
    </row>
    <row r="398">
      <c r="A398" s="8" t="n"/>
      <c r="B398" s="13" t="n"/>
      <c r="C398" s="13" t="n"/>
      <c r="D398" s="11" t="n"/>
      <c r="E398" s="7">
        <f>IF(A398="","",IF(OR(A398&lt;TaxStart,A398&gt;TaxEnd),"Outside tax year",IF(A398&lt;DATE(YEAR(TaxStart),7,6),"Q1",IF(A398&lt;DATE(YEAR(TaxStart),10,6),"Q2",IF(A398&lt;DATE(YEAR(TaxStart)+1,1,6),"Q3","Q4")))))</f>
        <v/>
      </c>
    </row>
    <row r="399">
      <c r="A399" s="8" t="n"/>
      <c r="B399" s="13" t="n"/>
      <c r="C399" s="13" t="n"/>
      <c r="D399" s="11" t="n"/>
      <c r="E399" s="7">
        <f>IF(A399="","",IF(OR(A399&lt;TaxStart,A399&gt;TaxEnd),"Outside tax year",IF(A399&lt;DATE(YEAR(TaxStart),7,6),"Q1",IF(A399&lt;DATE(YEAR(TaxStart),10,6),"Q2",IF(A399&lt;DATE(YEAR(TaxStart)+1,1,6),"Q3","Q4")))))</f>
        <v/>
      </c>
    </row>
    <row r="400">
      <c r="A400" s="8" t="n"/>
      <c r="B400" s="13" t="n"/>
      <c r="C400" s="13" t="n"/>
      <c r="D400" s="11" t="n"/>
      <c r="E400" s="7">
        <f>IF(A400="","",IF(OR(A400&lt;TaxStart,A400&gt;TaxEnd),"Outside tax year",IF(A400&lt;DATE(YEAR(TaxStart),7,6),"Q1",IF(A400&lt;DATE(YEAR(TaxStart),10,6),"Q2",IF(A400&lt;DATE(YEAR(TaxStart)+1,1,6),"Q3","Q4")))))</f>
        <v/>
      </c>
    </row>
    <row r="401">
      <c r="A401" s="8" t="n"/>
      <c r="B401" s="13" t="n"/>
      <c r="C401" s="13" t="n"/>
      <c r="D401" s="11" t="n"/>
      <c r="E401" s="7">
        <f>IF(A401="","",IF(OR(A401&lt;TaxStart,A401&gt;TaxEnd),"Outside tax year",IF(A401&lt;DATE(YEAR(TaxStart),7,6),"Q1",IF(A401&lt;DATE(YEAR(TaxStart),10,6),"Q2",IF(A401&lt;DATE(YEAR(TaxStart)+1,1,6),"Q3","Q4")))))</f>
        <v/>
      </c>
    </row>
    <row r="402">
      <c r="A402" s="8" t="n"/>
      <c r="B402" s="13" t="n"/>
      <c r="C402" s="13" t="n"/>
      <c r="D402" s="11" t="n"/>
      <c r="E402" s="7">
        <f>IF(A402="","",IF(OR(A402&lt;TaxStart,A402&gt;TaxEnd),"Outside tax year",IF(A402&lt;DATE(YEAR(TaxStart),7,6),"Q1",IF(A402&lt;DATE(YEAR(TaxStart),10,6),"Q2",IF(A402&lt;DATE(YEAR(TaxStart)+1,1,6),"Q3","Q4")))))</f>
        <v/>
      </c>
    </row>
    <row r="403">
      <c r="A403" s="8" t="n"/>
      <c r="B403" s="13" t="n"/>
      <c r="C403" s="13" t="n"/>
      <c r="D403" s="11" t="n"/>
      <c r="E403" s="7">
        <f>IF(A403="","",IF(OR(A403&lt;TaxStart,A403&gt;TaxEnd),"Outside tax year",IF(A403&lt;DATE(YEAR(TaxStart),7,6),"Q1",IF(A403&lt;DATE(YEAR(TaxStart),10,6),"Q2",IF(A403&lt;DATE(YEAR(TaxStart)+1,1,6),"Q3","Q4")))))</f>
        <v/>
      </c>
    </row>
    <row r="404">
      <c r="A404" s="8" t="n"/>
      <c r="B404" s="13" t="n"/>
      <c r="C404" s="13" t="n"/>
      <c r="D404" s="11" t="n"/>
      <c r="E404" s="7">
        <f>IF(A404="","",IF(OR(A404&lt;TaxStart,A404&gt;TaxEnd),"Outside tax year",IF(A404&lt;DATE(YEAR(TaxStart),7,6),"Q1",IF(A404&lt;DATE(YEAR(TaxStart),10,6),"Q2",IF(A404&lt;DATE(YEAR(TaxStart)+1,1,6),"Q3","Q4")))))</f>
        <v/>
      </c>
    </row>
    <row r="405">
      <c r="A405" s="8" t="n"/>
      <c r="B405" s="13" t="n"/>
      <c r="C405" s="13" t="n"/>
      <c r="D405" s="11" t="n"/>
      <c r="E405" s="7">
        <f>IF(A405="","",IF(OR(A405&lt;TaxStart,A405&gt;TaxEnd),"Outside tax year",IF(A405&lt;DATE(YEAR(TaxStart),7,6),"Q1",IF(A405&lt;DATE(YEAR(TaxStart),10,6),"Q2",IF(A405&lt;DATE(YEAR(TaxStart)+1,1,6),"Q3","Q4")))))</f>
        <v/>
      </c>
    </row>
    <row r="406">
      <c r="A406" s="8" t="n"/>
      <c r="B406" s="13" t="n"/>
      <c r="C406" s="13" t="n"/>
      <c r="D406" s="11" t="n"/>
      <c r="E406" s="7">
        <f>IF(A406="","",IF(OR(A406&lt;TaxStart,A406&gt;TaxEnd),"Outside tax year",IF(A406&lt;DATE(YEAR(TaxStart),7,6),"Q1",IF(A406&lt;DATE(YEAR(TaxStart),10,6),"Q2",IF(A406&lt;DATE(YEAR(TaxStart)+1,1,6),"Q3","Q4")))))</f>
        <v/>
      </c>
    </row>
    <row r="407">
      <c r="A407" s="8" t="n"/>
      <c r="B407" s="13" t="n"/>
      <c r="C407" s="13" t="n"/>
      <c r="D407" s="11" t="n"/>
      <c r="E407" s="7">
        <f>IF(A407="","",IF(OR(A407&lt;TaxStart,A407&gt;TaxEnd),"Outside tax year",IF(A407&lt;DATE(YEAR(TaxStart),7,6),"Q1",IF(A407&lt;DATE(YEAR(TaxStart),10,6),"Q2",IF(A407&lt;DATE(YEAR(TaxStart)+1,1,6),"Q3","Q4")))))</f>
        <v/>
      </c>
    </row>
    <row r="408">
      <c r="A408" s="8" t="n"/>
      <c r="B408" s="13" t="n"/>
      <c r="C408" s="13" t="n"/>
      <c r="D408" s="11" t="n"/>
      <c r="E408" s="7">
        <f>IF(A408="","",IF(OR(A408&lt;TaxStart,A408&gt;TaxEnd),"Outside tax year",IF(A408&lt;DATE(YEAR(TaxStart),7,6),"Q1",IF(A408&lt;DATE(YEAR(TaxStart),10,6),"Q2",IF(A408&lt;DATE(YEAR(TaxStart)+1,1,6),"Q3","Q4")))))</f>
        <v/>
      </c>
    </row>
    <row r="409">
      <c r="A409" s="8" t="n"/>
      <c r="B409" s="13" t="n"/>
      <c r="C409" s="13" t="n"/>
      <c r="D409" s="11" t="n"/>
      <c r="E409" s="7">
        <f>IF(A409="","",IF(OR(A409&lt;TaxStart,A409&gt;TaxEnd),"Outside tax year",IF(A409&lt;DATE(YEAR(TaxStart),7,6),"Q1",IF(A409&lt;DATE(YEAR(TaxStart),10,6),"Q2",IF(A409&lt;DATE(YEAR(TaxStart)+1,1,6),"Q3","Q4")))))</f>
        <v/>
      </c>
    </row>
    <row r="410">
      <c r="A410" s="8" t="n"/>
      <c r="B410" s="13" t="n"/>
      <c r="C410" s="13" t="n"/>
      <c r="D410" s="11" t="n"/>
      <c r="E410" s="7">
        <f>IF(A410="","",IF(OR(A410&lt;TaxStart,A410&gt;TaxEnd),"Outside tax year",IF(A410&lt;DATE(YEAR(TaxStart),7,6),"Q1",IF(A410&lt;DATE(YEAR(TaxStart),10,6),"Q2",IF(A410&lt;DATE(YEAR(TaxStart)+1,1,6),"Q3","Q4")))))</f>
        <v/>
      </c>
    </row>
    <row r="411">
      <c r="A411" s="8" t="n"/>
      <c r="B411" s="13" t="n"/>
      <c r="C411" s="13" t="n"/>
      <c r="D411" s="11" t="n"/>
      <c r="E411" s="7">
        <f>IF(A411="","",IF(OR(A411&lt;TaxStart,A411&gt;TaxEnd),"Outside tax year",IF(A411&lt;DATE(YEAR(TaxStart),7,6),"Q1",IF(A411&lt;DATE(YEAR(TaxStart),10,6),"Q2",IF(A411&lt;DATE(YEAR(TaxStart)+1,1,6),"Q3","Q4")))))</f>
        <v/>
      </c>
    </row>
    <row r="412">
      <c r="A412" s="8" t="n"/>
      <c r="B412" s="13" t="n"/>
      <c r="C412" s="13" t="n"/>
      <c r="D412" s="11" t="n"/>
      <c r="E412" s="7">
        <f>IF(A412="","",IF(OR(A412&lt;TaxStart,A412&gt;TaxEnd),"Outside tax year",IF(A412&lt;DATE(YEAR(TaxStart),7,6),"Q1",IF(A412&lt;DATE(YEAR(TaxStart),10,6),"Q2",IF(A412&lt;DATE(YEAR(TaxStart)+1,1,6),"Q3","Q4")))))</f>
        <v/>
      </c>
    </row>
    <row r="413">
      <c r="A413" s="8" t="n"/>
      <c r="B413" s="13" t="n"/>
      <c r="C413" s="13" t="n"/>
      <c r="D413" s="11" t="n"/>
      <c r="E413" s="7">
        <f>IF(A413="","",IF(OR(A413&lt;TaxStart,A413&gt;TaxEnd),"Outside tax year",IF(A413&lt;DATE(YEAR(TaxStart),7,6),"Q1",IF(A413&lt;DATE(YEAR(TaxStart),10,6),"Q2",IF(A413&lt;DATE(YEAR(TaxStart)+1,1,6),"Q3","Q4")))))</f>
        <v/>
      </c>
    </row>
    <row r="414">
      <c r="A414" s="8" t="n"/>
      <c r="B414" s="13" t="n"/>
      <c r="C414" s="13" t="n"/>
      <c r="D414" s="11" t="n"/>
      <c r="E414" s="7">
        <f>IF(A414="","",IF(OR(A414&lt;TaxStart,A414&gt;TaxEnd),"Outside tax year",IF(A414&lt;DATE(YEAR(TaxStart),7,6),"Q1",IF(A414&lt;DATE(YEAR(TaxStart),10,6),"Q2",IF(A414&lt;DATE(YEAR(TaxStart)+1,1,6),"Q3","Q4")))))</f>
        <v/>
      </c>
    </row>
    <row r="415">
      <c r="A415" s="8" t="n"/>
      <c r="B415" s="13" t="n"/>
      <c r="C415" s="13" t="n"/>
      <c r="D415" s="11" t="n"/>
      <c r="E415" s="7">
        <f>IF(A415="","",IF(OR(A415&lt;TaxStart,A415&gt;TaxEnd),"Outside tax year",IF(A415&lt;DATE(YEAR(TaxStart),7,6),"Q1",IF(A415&lt;DATE(YEAR(TaxStart),10,6),"Q2",IF(A415&lt;DATE(YEAR(TaxStart)+1,1,6),"Q3","Q4")))))</f>
        <v/>
      </c>
    </row>
    <row r="416">
      <c r="A416" s="8" t="n"/>
      <c r="B416" s="13" t="n"/>
      <c r="C416" s="13" t="n"/>
      <c r="D416" s="11" t="n"/>
      <c r="E416" s="7">
        <f>IF(A416="","",IF(OR(A416&lt;TaxStart,A416&gt;TaxEnd),"Outside tax year",IF(A416&lt;DATE(YEAR(TaxStart),7,6),"Q1",IF(A416&lt;DATE(YEAR(TaxStart),10,6),"Q2",IF(A416&lt;DATE(YEAR(TaxStart)+1,1,6),"Q3","Q4")))))</f>
        <v/>
      </c>
    </row>
    <row r="417">
      <c r="A417" s="8" t="n"/>
      <c r="B417" s="13" t="n"/>
      <c r="C417" s="13" t="n"/>
      <c r="D417" s="11" t="n"/>
      <c r="E417" s="7">
        <f>IF(A417="","",IF(OR(A417&lt;TaxStart,A417&gt;TaxEnd),"Outside tax year",IF(A417&lt;DATE(YEAR(TaxStart),7,6),"Q1",IF(A417&lt;DATE(YEAR(TaxStart),10,6),"Q2",IF(A417&lt;DATE(YEAR(TaxStart)+1,1,6),"Q3","Q4")))))</f>
        <v/>
      </c>
    </row>
    <row r="418">
      <c r="A418" s="8" t="n"/>
      <c r="B418" s="13" t="n"/>
      <c r="C418" s="13" t="n"/>
      <c r="D418" s="11" t="n"/>
      <c r="E418" s="7">
        <f>IF(A418="","",IF(OR(A418&lt;TaxStart,A418&gt;TaxEnd),"Outside tax year",IF(A418&lt;DATE(YEAR(TaxStart),7,6),"Q1",IF(A418&lt;DATE(YEAR(TaxStart),10,6),"Q2",IF(A418&lt;DATE(YEAR(TaxStart)+1,1,6),"Q3","Q4")))))</f>
        <v/>
      </c>
    </row>
    <row r="419">
      <c r="A419" s="8" t="n"/>
      <c r="B419" s="13" t="n"/>
      <c r="C419" s="13" t="n"/>
      <c r="D419" s="11" t="n"/>
      <c r="E419" s="7">
        <f>IF(A419="","",IF(OR(A419&lt;TaxStart,A419&gt;TaxEnd),"Outside tax year",IF(A419&lt;DATE(YEAR(TaxStart),7,6),"Q1",IF(A419&lt;DATE(YEAR(TaxStart),10,6),"Q2",IF(A419&lt;DATE(YEAR(TaxStart)+1,1,6),"Q3","Q4")))))</f>
        <v/>
      </c>
    </row>
    <row r="420">
      <c r="A420" s="8" t="n"/>
      <c r="B420" s="13" t="n"/>
      <c r="C420" s="13" t="n"/>
      <c r="D420" s="11" t="n"/>
      <c r="E420" s="7">
        <f>IF(A420="","",IF(OR(A420&lt;TaxStart,A420&gt;TaxEnd),"Outside tax year",IF(A420&lt;DATE(YEAR(TaxStart),7,6),"Q1",IF(A420&lt;DATE(YEAR(TaxStart),10,6),"Q2",IF(A420&lt;DATE(YEAR(TaxStart)+1,1,6),"Q3","Q4")))))</f>
        <v/>
      </c>
    </row>
    <row r="421">
      <c r="A421" s="8" t="n"/>
      <c r="B421" s="13" t="n"/>
      <c r="C421" s="13" t="n"/>
      <c r="D421" s="11" t="n"/>
      <c r="E421" s="7">
        <f>IF(A421="","",IF(OR(A421&lt;TaxStart,A421&gt;TaxEnd),"Outside tax year",IF(A421&lt;DATE(YEAR(TaxStart),7,6),"Q1",IF(A421&lt;DATE(YEAR(TaxStart),10,6),"Q2",IF(A421&lt;DATE(YEAR(TaxStart)+1,1,6),"Q3","Q4")))))</f>
        <v/>
      </c>
    </row>
    <row r="422">
      <c r="A422" s="8" t="n"/>
      <c r="B422" s="13" t="n"/>
      <c r="C422" s="13" t="n"/>
      <c r="D422" s="11" t="n"/>
      <c r="E422" s="7">
        <f>IF(A422="","",IF(OR(A422&lt;TaxStart,A422&gt;TaxEnd),"Outside tax year",IF(A422&lt;DATE(YEAR(TaxStart),7,6),"Q1",IF(A422&lt;DATE(YEAR(TaxStart),10,6),"Q2",IF(A422&lt;DATE(YEAR(TaxStart)+1,1,6),"Q3","Q4")))))</f>
        <v/>
      </c>
    </row>
    <row r="423">
      <c r="A423" s="8" t="n"/>
      <c r="B423" s="13" t="n"/>
      <c r="C423" s="13" t="n"/>
      <c r="D423" s="11" t="n"/>
      <c r="E423" s="7">
        <f>IF(A423="","",IF(OR(A423&lt;TaxStart,A423&gt;TaxEnd),"Outside tax year",IF(A423&lt;DATE(YEAR(TaxStart),7,6),"Q1",IF(A423&lt;DATE(YEAR(TaxStart),10,6),"Q2",IF(A423&lt;DATE(YEAR(TaxStart)+1,1,6),"Q3","Q4")))))</f>
        <v/>
      </c>
    </row>
    <row r="424">
      <c r="A424" s="8" t="n"/>
      <c r="B424" s="13" t="n"/>
      <c r="C424" s="13" t="n"/>
      <c r="D424" s="11" t="n"/>
      <c r="E424" s="7">
        <f>IF(A424="","",IF(OR(A424&lt;TaxStart,A424&gt;TaxEnd),"Outside tax year",IF(A424&lt;DATE(YEAR(TaxStart),7,6),"Q1",IF(A424&lt;DATE(YEAR(TaxStart),10,6),"Q2",IF(A424&lt;DATE(YEAR(TaxStart)+1,1,6),"Q3","Q4")))))</f>
        <v/>
      </c>
    </row>
    <row r="425">
      <c r="A425" s="8" t="n"/>
      <c r="B425" s="13" t="n"/>
      <c r="C425" s="13" t="n"/>
      <c r="D425" s="11" t="n"/>
      <c r="E425" s="7">
        <f>IF(A425="","",IF(OR(A425&lt;TaxStart,A425&gt;TaxEnd),"Outside tax year",IF(A425&lt;DATE(YEAR(TaxStart),7,6),"Q1",IF(A425&lt;DATE(YEAR(TaxStart),10,6),"Q2",IF(A425&lt;DATE(YEAR(TaxStart)+1,1,6),"Q3","Q4")))))</f>
        <v/>
      </c>
    </row>
    <row r="426">
      <c r="A426" s="8" t="n"/>
      <c r="B426" s="13" t="n"/>
      <c r="C426" s="13" t="n"/>
      <c r="D426" s="11" t="n"/>
      <c r="E426" s="7">
        <f>IF(A426="","",IF(OR(A426&lt;TaxStart,A426&gt;TaxEnd),"Outside tax year",IF(A426&lt;DATE(YEAR(TaxStart),7,6),"Q1",IF(A426&lt;DATE(YEAR(TaxStart),10,6),"Q2",IF(A426&lt;DATE(YEAR(TaxStart)+1,1,6),"Q3","Q4")))))</f>
        <v/>
      </c>
    </row>
    <row r="427">
      <c r="A427" s="8" t="n"/>
      <c r="B427" s="13" t="n"/>
      <c r="C427" s="13" t="n"/>
      <c r="D427" s="11" t="n"/>
      <c r="E427" s="7">
        <f>IF(A427="","",IF(OR(A427&lt;TaxStart,A427&gt;TaxEnd),"Outside tax year",IF(A427&lt;DATE(YEAR(TaxStart),7,6),"Q1",IF(A427&lt;DATE(YEAR(TaxStart),10,6),"Q2",IF(A427&lt;DATE(YEAR(TaxStart)+1,1,6),"Q3","Q4")))))</f>
        <v/>
      </c>
    </row>
    <row r="428">
      <c r="A428" s="8" t="n"/>
      <c r="B428" s="13" t="n"/>
      <c r="C428" s="13" t="n"/>
      <c r="D428" s="11" t="n"/>
      <c r="E428" s="7">
        <f>IF(A428="","",IF(OR(A428&lt;TaxStart,A428&gt;TaxEnd),"Outside tax year",IF(A428&lt;DATE(YEAR(TaxStart),7,6),"Q1",IF(A428&lt;DATE(YEAR(TaxStart),10,6),"Q2",IF(A428&lt;DATE(YEAR(TaxStart)+1,1,6),"Q3","Q4")))))</f>
        <v/>
      </c>
    </row>
    <row r="429">
      <c r="A429" s="8" t="n"/>
      <c r="B429" s="13" t="n"/>
      <c r="C429" s="13" t="n"/>
      <c r="D429" s="11" t="n"/>
      <c r="E429" s="7">
        <f>IF(A429="","",IF(OR(A429&lt;TaxStart,A429&gt;TaxEnd),"Outside tax year",IF(A429&lt;DATE(YEAR(TaxStart),7,6),"Q1",IF(A429&lt;DATE(YEAR(TaxStart),10,6),"Q2",IF(A429&lt;DATE(YEAR(TaxStart)+1,1,6),"Q3","Q4")))))</f>
        <v/>
      </c>
    </row>
    <row r="430">
      <c r="A430" s="8" t="n"/>
      <c r="B430" s="13" t="n"/>
      <c r="C430" s="13" t="n"/>
      <c r="D430" s="11" t="n"/>
      <c r="E430" s="7">
        <f>IF(A430="","",IF(OR(A430&lt;TaxStart,A430&gt;TaxEnd),"Outside tax year",IF(A430&lt;DATE(YEAR(TaxStart),7,6),"Q1",IF(A430&lt;DATE(YEAR(TaxStart),10,6),"Q2",IF(A430&lt;DATE(YEAR(TaxStart)+1,1,6),"Q3","Q4")))))</f>
        <v/>
      </c>
    </row>
    <row r="431">
      <c r="A431" s="8" t="n"/>
      <c r="B431" s="13" t="n"/>
      <c r="C431" s="13" t="n"/>
      <c r="D431" s="11" t="n"/>
      <c r="E431" s="7">
        <f>IF(A431="","",IF(OR(A431&lt;TaxStart,A431&gt;TaxEnd),"Outside tax year",IF(A431&lt;DATE(YEAR(TaxStart),7,6),"Q1",IF(A431&lt;DATE(YEAR(TaxStart),10,6),"Q2",IF(A431&lt;DATE(YEAR(TaxStart)+1,1,6),"Q3","Q4")))))</f>
        <v/>
      </c>
    </row>
    <row r="432">
      <c r="A432" s="8" t="n"/>
      <c r="B432" s="13" t="n"/>
      <c r="C432" s="13" t="n"/>
      <c r="D432" s="11" t="n"/>
      <c r="E432" s="7">
        <f>IF(A432="","",IF(OR(A432&lt;TaxStart,A432&gt;TaxEnd),"Outside tax year",IF(A432&lt;DATE(YEAR(TaxStart),7,6),"Q1",IF(A432&lt;DATE(YEAR(TaxStart),10,6),"Q2",IF(A432&lt;DATE(YEAR(TaxStart)+1,1,6),"Q3","Q4")))))</f>
        <v/>
      </c>
    </row>
    <row r="433">
      <c r="A433" s="8" t="n"/>
      <c r="B433" s="13" t="n"/>
      <c r="C433" s="13" t="n"/>
      <c r="D433" s="11" t="n"/>
      <c r="E433" s="7">
        <f>IF(A433="","",IF(OR(A433&lt;TaxStart,A433&gt;TaxEnd),"Outside tax year",IF(A433&lt;DATE(YEAR(TaxStart),7,6),"Q1",IF(A433&lt;DATE(YEAR(TaxStart),10,6),"Q2",IF(A433&lt;DATE(YEAR(TaxStart)+1,1,6),"Q3","Q4")))))</f>
        <v/>
      </c>
    </row>
    <row r="434">
      <c r="A434" s="8" t="n"/>
      <c r="B434" s="13" t="n"/>
      <c r="C434" s="13" t="n"/>
      <c r="D434" s="11" t="n"/>
      <c r="E434" s="7">
        <f>IF(A434="","",IF(OR(A434&lt;TaxStart,A434&gt;TaxEnd),"Outside tax year",IF(A434&lt;DATE(YEAR(TaxStart),7,6),"Q1",IF(A434&lt;DATE(YEAR(TaxStart),10,6),"Q2",IF(A434&lt;DATE(YEAR(TaxStart)+1,1,6),"Q3","Q4")))))</f>
        <v/>
      </c>
    </row>
    <row r="435">
      <c r="A435" s="8" t="n"/>
      <c r="B435" s="13" t="n"/>
      <c r="C435" s="13" t="n"/>
      <c r="D435" s="11" t="n"/>
      <c r="E435" s="7">
        <f>IF(A435="","",IF(OR(A435&lt;TaxStart,A435&gt;TaxEnd),"Outside tax year",IF(A435&lt;DATE(YEAR(TaxStart),7,6),"Q1",IF(A435&lt;DATE(YEAR(TaxStart),10,6),"Q2",IF(A435&lt;DATE(YEAR(TaxStart)+1,1,6),"Q3","Q4")))))</f>
        <v/>
      </c>
    </row>
    <row r="436">
      <c r="A436" s="8" t="n"/>
      <c r="B436" s="13" t="n"/>
      <c r="C436" s="13" t="n"/>
      <c r="D436" s="11" t="n"/>
      <c r="E436" s="7">
        <f>IF(A436="","",IF(OR(A436&lt;TaxStart,A436&gt;TaxEnd),"Outside tax year",IF(A436&lt;DATE(YEAR(TaxStart),7,6),"Q1",IF(A436&lt;DATE(YEAR(TaxStart),10,6),"Q2",IF(A436&lt;DATE(YEAR(TaxStart)+1,1,6),"Q3","Q4")))))</f>
        <v/>
      </c>
    </row>
    <row r="437">
      <c r="A437" s="8" t="n"/>
      <c r="B437" s="13" t="n"/>
      <c r="C437" s="13" t="n"/>
      <c r="D437" s="11" t="n"/>
      <c r="E437" s="7">
        <f>IF(A437="","",IF(OR(A437&lt;TaxStart,A437&gt;TaxEnd),"Outside tax year",IF(A437&lt;DATE(YEAR(TaxStart),7,6),"Q1",IF(A437&lt;DATE(YEAR(TaxStart),10,6),"Q2",IF(A437&lt;DATE(YEAR(TaxStart)+1,1,6),"Q3","Q4")))))</f>
        <v/>
      </c>
    </row>
    <row r="438">
      <c r="A438" s="8" t="n"/>
      <c r="B438" s="13" t="n"/>
      <c r="C438" s="13" t="n"/>
      <c r="D438" s="11" t="n"/>
      <c r="E438" s="7">
        <f>IF(A438="","",IF(OR(A438&lt;TaxStart,A438&gt;TaxEnd),"Outside tax year",IF(A438&lt;DATE(YEAR(TaxStart),7,6),"Q1",IF(A438&lt;DATE(YEAR(TaxStart),10,6),"Q2",IF(A438&lt;DATE(YEAR(TaxStart)+1,1,6),"Q3","Q4")))))</f>
        <v/>
      </c>
    </row>
    <row r="439">
      <c r="A439" s="8" t="n"/>
      <c r="B439" s="13" t="n"/>
      <c r="C439" s="13" t="n"/>
      <c r="D439" s="11" t="n"/>
      <c r="E439" s="7">
        <f>IF(A439="","",IF(OR(A439&lt;TaxStart,A439&gt;TaxEnd),"Outside tax year",IF(A439&lt;DATE(YEAR(TaxStart),7,6),"Q1",IF(A439&lt;DATE(YEAR(TaxStart),10,6),"Q2",IF(A439&lt;DATE(YEAR(TaxStart)+1,1,6),"Q3","Q4")))))</f>
        <v/>
      </c>
    </row>
    <row r="440">
      <c r="A440" s="8" t="n"/>
      <c r="B440" s="13" t="n"/>
      <c r="C440" s="13" t="n"/>
      <c r="D440" s="11" t="n"/>
      <c r="E440" s="7">
        <f>IF(A440="","",IF(OR(A440&lt;TaxStart,A440&gt;TaxEnd),"Outside tax year",IF(A440&lt;DATE(YEAR(TaxStart),7,6),"Q1",IF(A440&lt;DATE(YEAR(TaxStart),10,6),"Q2",IF(A440&lt;DATE(YEAR(TaxStart)+1,1,6),"Q3","Q4")))))</f>
        <v/>
      </c>
    </row>
    <row r="441">
      <c r="A441" s="8" t="n"/>
      <c r="B441" s="13" t="n"/>
      <c r="C441" s="13" t="n"/>
      <c r="D441" s="11" t="n"/>
      <c r="E441" s="7">
        <f>IF(A441="","",IF(OR(A441&lt;TaxStart,A441&gt;TaxEnd),"Outside tax year",IF(A441&lt;DATE(YEAR(TaxStart),7,6),"Q1",IF(A441&lt;DATE(YEAR(TaxStart),10,6),"Q2",IF(A441&lt;DATE(YEAR(TaxStart)+1,1,6),"Q3","Q4")))))</f>
        <v/>
      </c>
    </row>
    <row r="442">
      <c r="A442" s="8" t="n"/>
      <c r="B442" s="13" t="n"/>
      <c r="C442" s="13" t="n"/>
      <c r="D442" s="11" t="n"/>
      <c r="E442" s="7">
        <f>IF(A442="","",IF(OR(A442&lt;TaxStart,A442&gt;TaxEnd),"Outside tax year",IF(A442&lt;DATE(YEAR(TaxStart),7,6),"Q1",IF(A442&lt;DATE(YEAR(TaxStart),10,6),"Q2",IF(A442&lt;DATE(YEAR(TaxStart)+1,1,6),"Q3","Q4")))))</f>
        <v/>
      </c>
    </row>
    <row r="443">
      <c r="A443" s="8" t="n"/>
      <c r="B443" s="13" t="n"/>
      <c r="C443" s="13" t="n"/>
      <c r="D443" s="11" t="n"/>
      <c r="E443" s="7">
        <f>IF(A443="","",IF(OR(A443&lt;TaxStart,A443&gt;TaxEnd),"Outside tax year",IF(A443&lt;DATE(YEAR(TaxStart),7,6),"Q1",IF(A443&lt;DATE(YEAR(TaxStart),10,6),"Q2",IF(A443&lt;DATE(YEAR(TaxStart)+1,1,6),"Q3","Q4")))))</f>
        <v/>
      </c>
    </row>
    <row r="444">
      <c r="A444" s="8" t="n"/>
      <c r="B444" s="13" t="n"/>
      <c r="C444" s="13" t="n"/>
      <c r="D444" s="11" t="n"/>
      <c r="E444" s="7">
        <f>IF(A444="","",IF(OR(A444&lt;TaxStart,A444&gt;TaxEnd),"Outside tax year",IF(A444&lt;DATE(YEAR(TaxStart),7,6),"Q1",IF(A444&lt;DATE(YEAR(TaxStart),10,6),"Q2",IF(A444&lt;DATE(YEAR(TaxStart)+1,1,6),"Q3","Q4")))))</f>
        <v/>
      </c>
    </row>
    <row r="445">
      <c r="A445" s="8" t="n"/>
      <c r="B445" s="13" t="n"/>
      <c r="C445" s="13" t="n"/>
      <c r="D445" s="11" t="n"/>
      <c r="E445" s="7">
        <f>IF(A445="","",IF(OR(A445&lt;TaxStart,A445&gt;TaxEnd),"Outside tax year",IF(A445&lt;DATE(YEAR(TaxStart),7,6),"Q1",IF(A445&lt;DATE(YEAR(TaxStart),10,6),"Q2",IF(A445&lt;DATE(YEAR(TaxStart)+1,1,6),"Q3","Q4")))))</f>
        <v/>
      </c>
    </row>
    <row r="446">
      <c r="A446" s="8" t="n"/>
      <c r="B446" s="13" t="n"/>
      <c r="C446" s="13" t="n"/>
      <c r="D446" s="11" t="n"/>
      <c r="E446" s="7">
        <f>IF(A446="","",IF(OR(A446&lt;TaxStart,A446&gt;TaxEnd),"Outside tax year",IF(A446&lt;DATE(YEAR(TaxStart),7,6),"Q1",IF(A446&lt;DATE(YEAR(TaxStart),10,6),"Q2",IF(A446&lt;DATE(YEAR(TaxStart)+1,1,6),"Q3","Q4")))))</f>
        <v/>
      </c>
    </row>
    <row r="447">
      <c r="A447" s="8" t="n"/>
      <c r="B447" s="13" t="n"/>
      <c r="C447" s="13" t="n"/>
      <c r="D447" s="11" t="n"/>
      <c r="E447" s="7">
        <f>IF(A447="","",IF(OR(A447&lt;TaxStart,A447&gt;TaxEnd),"Outside tax year",IF(A447&lt;DATE(YEAR(TaxStart),7,6),"Q1",IF(A447&lt;DATE(YEAR(TaxStart),10,6),"Q2",IF(A447&lt;DATE(YEAR(TaxStart)+1,1,6),"Q3","Q4")))))</f>
        <v/>
      </c>
    </row>
    <row r="448">
      <c r="A448" s="8" t="n"/>
      <c r="B448" s="13" t="n"/>
      <c r="C448" s="13" t="n"/>
      <c r="D448" s="11" t="n"/>
      <c r="E448" s="7">
        <f>IF(A448="","",IF(OR(A448&lt;TaxStart,A448&gt;TaxEnd),"Outside tax year",IF(A448&lt;DATE(YEAR(TaxStart),7,6),"Q1",IF(A448&lt;DATE(YEAR(TaxStart),10,6),"Q2",IF(A448&lt;DATE(YEAR(TaxStart)+1,1,6),"Q3","Q4")))))</f>
        <v/>
      </c>
    </row>
    <row r="449">
      <c r="A449" s="8" t="n"/>
      <c r="B449" s="13" t="n"/>
      <c r="C449" s="13" t="n"/>
      <c r="D449" s="11" t="n"/>
      <c r="E449" s="7">
        <f>IF(A449="","",IF(OR(A449&lt;TaxStart,A449&gt;TaxEnd),"Outside tax year",IF(A449&lt;DATE(YEAR(TaxStart),7,6),"Q1",IF(A449&lt;DATE(YEAR(TaxStart),10,6),"Q2",IF(A449&lt;DATE(YEAR(TaxStart)+1,1,6),"Q3","Q4")))))</f>
        <v/>
      </c>
    </row>
    <row r="450">
      <c r="A450" s="8" t="n"/>
      <c r="B450" s="13" t="n"/>
      <c r="C450" s="13" t="n"/>
      <c r="D450" s="11" t="n"/>
      <c r="E450" s="7">
        <f>IF(A450="","",IF(OR(A450&lt;TaxStart,A450&gt;TaxEnd),"Outside tax year",IF(A450&lt;DATE(YEAR(TaxStart),7,6),"Q1",IF(A450&lt;DATE(YEAR(TaxStart),10,6),"Q2",IF(A450&lt;DATE(YEAR(TaxStart)+1,1,6),"Q3","Q4")))))</f>
        <v/>
      </c>
    </row>
    <row r="451">
      <c r="A451" s="8" t="n"/>
      <c r="B451" s="13" t="n"/>
      <c r="C451" s="13" t="n"/>
      <c r="D451" s="11" t="n"/>
      <c r="E451" s="7">
        <f>IF(A451="","",IF(OR(A451&lt;TaxStart,A451&gt;TaxEnd),"Outside tax year",IF(A451&lt;DATE(YEAR(TaxStart),7,6),"Q1",IF(A451&lt;DATE(YEAR(TaxStart),10,6),"Q2",IF(A451&lt;DATE(YEAR(TaxStart)+1,1,6),"Q3","Q4")))))</f>
        <v/>
      </c>
    </row>
    <row r="452">
      <c r="A452" s="8" t="n"/>
      <c r="B452" s="13" t="n"/>
      <c r="C452" s="13" t="n"/>
      <c r="D452" s="11" t="n"/>
      <c r="E452" s="7">
        <f>IF(A452="","",IF(OR(A452&lt;TaxStart,A452&gt;TaxEnd),"Outside tax year",IF(A452&lt;DATE(YEAR(TaxStart),7,6),"Q1",IF(A452&lt;DATE(YEAR(TaxStart),10,6),"Q2",IF(A452&lt;DATE(YEAR(TaxStart)+1,1,6),"Q3","Q4")))))</f>
        <v/>
      </c>
    </row>
    <row r="453">
      <c r="A453" s="8" t="n"/>
      <c r="B453" s="13" t="n"/>
      <c r="C453" s="13" t="n"/>
      <c r="D453" s="11" t="n"/>
      <c r="E453" s="7">
        <f>IF(A453="","",IF(OR(A453&lt;TaxStart,A453&gt;TaxEnd),"Outside tax year",IF(A453&lt;DATE(YEAR(TaxStart),7,6),"Q1",IF(A453&lt;DATE(YEAR(TaxStart),10,6),"Q2",IF(A453&lt;DATE(YEAR(TaxStart)+1,1,6),"Q3","Q4")))))</f>
        <v/>
      </c>
    </row>
    <row r="454">
      <c r="A454" s="8" t="n"/>
      <c r="B454" s="13" t="n"/>
      <c r="C454" s="13" t="n"/>
      <c r="D454" s="11" t="n"/>
      <c r="E454" s="7">
        <f>IF(A454="","",IF(OR(A454&lt;TaxStart,A454&gt;TaxEnd),"Outside tax year",IF(A454&lt;DATE(YEAR(TaxStart),7,6),"Q1",IF(A454&lt;DATE(YEAR(TaxStart),10,6),"Q2",IF(A454&lt;DATE(YEAR(TaxStart)+1,1,6),"Q3","Q4")))))</f>
        <v/>
      </c>
    </row>
    <row r="455">
      <c r="A455" s="8" t="n"/>
      <c r="B455" s="13" t="n"/>
      <c r="C455" s="13" t="n"/>
      <c r="D455" s="11" t="n"/>
      <c r="E455" s="7">
        <f>IF(A455="","",IF(OR(A455&lt;TaxStart,A455&gt;TaxEnd),"Outside tax year",IF(A455&lt;DATE(YEAR(TaxStart),7,6),"Q1",IF(A455&lt;DATE(YEAR(TaxStart),10,6),"Q2",IF(A455&lt;DATE(YEAR(TaxStart)+1,1,6),"Q3","Q4")))))</f>
        <v/>
      </c>
    </row>
    <row r="456">
      <c r="A456" s="8" t="n"/>
      <c r="B456" s="13" t="n"/>
      <c r="C456" s="13" t="n"/>
      <c r="D456" s="11" t="n"/>
      <c r="E456" s="7">
        <f>IF(A456="","",IF(OR(A456&lt;TaxStart,A456&gt;TaxEnd),"Outside tax year",IF(A456&lt;DATE(YEAR(TaxStart),7,6),"Q1",IF(A456&lt;DATE(YEAR(TaxStart),10,6),"Q2",IF(A456&lt;DATE(YEAR(TaxStart)+1,1,6),"Q3","Q4")))))</f>
        <v/>
      </c>
    </row>
    <row r="457">
      <c r="A457" s="8" t="n"/>
      <c r="B457" s="13" t="n"/>
      <c r="C457" s="13" t="n"/>
      <c r="D457" s="11" t="n"/>
      <c r="E457" s="7">
        <f>IF(A457="","",IF(OR(A457&lt;TaxStart,A457&gt;TaxEnd),"Outside tax year",IF(A457&lt;DATE(YEAR(TaxStart),7,6),"Q1",IF(A457&lt;DATE(YEAR(TaxStart),10,6),"Q2",IF(A457&lt;DATE(YEAR(TaxStart)+1,1,6),"Q3","Q4")))))</f>
        <v/>
      </c>
    </row>
    <row r="458">
      <c r="A458" s="8" t="n"/>
      <c r="B458" s="13" t="n"/>
      <c r="C458" s="13" t="n"/>
      <c r="D458" s="11" t="n"/>
      <c r="E458" s="7">
        <f>IF(A458="","",IF(OR(A458&lt;TaxStart,A458&gt;TaxEnd),"Outside tax year",IF(A458&lt;DATE(YEAR(TaxStart),7,6),"Q1",IF(A458&lt;DATE(YEAR(TaxStart),10,6),"Q2",IF(A458&lt;DATE(YEAR(TaxStart)+1,1,6),"Q3","Q4")))))</f>
        <v/>
      </c>
    </row>
    <row r="459">
      <c r="A459" s="8" t="n"/>
      <c r="B459" s="13" t="n"/>
      <c r="C459" s="13" t="n"/>
      <c r="D459" s="11" t="n"/>
      <c r="E459" s="7">
        <f>IF(A459="","",IF(OR(A459&lt;TaxStart,A459&gt;TaxEnd),"Outside tax year",IF(A459&lt;DATE(YEAR(TaxStart),7,6),"Q1",IF(A459&lt;DATE(YEAR(TaxStart),10,6),"Q2",IF(A459&lt;DATE(YEAR(TaxStart)+1,1,6),"Q3","Q4")))))</f>
        <v/>
      </c>
    </row>
    <row r="460">
      <c r="A460" s="8" t="n"/>
      <c r="B460" s="13" t="n"/>
      <c r="C460" s="13" t="n"/>
      <c r="D460" s="11" t="n"/>
      <c r="E460" s="7">
        <f>IF(A460="","",IF(OR(A460&lt;TaxStart,A460&gt;TaxEnd),"Outside tax year",IF(A460&lt;DATE(YEAR(TaxStart),7,6),"Q1",IF(A460&lt;DATE(YEAR(TaxStart),10,6),"Q2",IF(A460&lt;DATE(YEAR(TaxStart)+1,1,6),"Q3","Q4")))))</f>
        <v/>
      </c>
    </row>
    <row r="461">
      <c r="A461" s="8" t="n"/>
      <c r="B461" s="13" t="n"/>
      <c r="C461" s="13" t="n"/>
      <c r="D461" s="11" t="n"/>
      <c r="E461" s="7">
        <f>IF(A461="","",IF(OR(A461&lt;TaxStart,A461&gt;TaxEnd),"Outside tax year",IF(A461&lt;DATE(YEAR(TaxStart),7,6),"Q1",IF(A461&lt;DATE(YEAR(TaxStart),10,6),"Q2",IF(A461&lt;DATE(YEAR(TaxStart)+1,1,6),"Q3","Q4")))))</f>
        <v/>
      </c>
    </row>
    <row r="462">
      <c r="A462" s="8" t="n"/>
      <c r="B462" s="13" t="n"/>
      <c r="C462" s="13" t="n"/>
      <c r="D462" s="11" t="n"/>
      <c r="E462" s="7">
        <f>IF(A462="","",IF(OR(A462&lt;TaxStart,A462&gt;TaxEnd),"Outside tax year",IF(A462&lt;DATE(YEAR(TaxStart),7,6),"Q1",IF(A462&lt;DATE(YEAR(TaxStart),10,6),"Q2",IF(A462&lt;DATE(YEAR(TaxStart)+1,1,6),"Q3","Q4")))))</f>
        <v/>
      </c>
    </row>
    <row r="463">
      <c r="A463" s="8" t="n"/>
      <c r="B463" s="13" t="n"/>
      <c r="C463" s="13" t="n"/>
      <c r="D463" s="11" t="n"/>
      <c r="E463" s="7">
        <f>IF(A463="","",IF(OR(A463&lt;TaxStart,A463&gt;TaxEnd),"Outside tax year",IF(A463&lt;DATE(YEAR(TaxStart),7,6),"Q1",IF(A463&lt;DATE(YEAR(TaxStart),10,6),"Q2",IF(A463&lt;DATE(YEAR(TaxStart)+1,1,6),"Q3","Q4")))))</f>
        <v/>
      </c>
    </row>
    <row r="464">
      <c r="A464" s="8" t="n"/>
      <c r="B464" s="13" t="n"/>
      <c r="C464" s="13" t="n"/>
      <c r="D464" s="11" t="n"/>
      <c r="E464" s="7">
        <f>IF(A464="","",IF(OR(A464&lt;TaxStart,A464&gt;TaxEnd),"Outside tax year",IF(A464&lt;DATE(YEAR(TaxStart),7,6),"Q1",IF(A464&lt;DATE(YEAR(TaxStart),10,6),"Q2",IF(A464&lt;DATE(YEAR(TaxStart)+1,1,6),"Q3","Q4")))))</f>
        <v/>
      </c>
    </row>
    <row r="465">
      <c r="A465" s="8" t="n"/>
      <c r="B465" s="13" t="n"/>
      <c r="C465" s="13" t="n"/>
      <c r="D465" s="11" t="n"/>
      <c r="E465" s="7">
        <f>IF(A465="","",IF(OR(A465&lt;TaxStart,A465&gt;TaxEnd),"Outside tax year",IF(A465&lt;DATE(YEAR(TaxStart),7,6),"Q1",IF(A465&lt;DATE(YEAR(TaxStart),10,6),"Q2",IF(A465&lt;DATE(YEAR(TaxStart)+1,1,6),"Q3","Q4")))))</f>
        <v/>
      </c>
    </row>
    <row r="466">
      <c r="A466" s="8" t="n"/>
      <c r="B466" s="13" t="n"/>
      <c r="C466" s="13" t="n"/>
      <c r="D466" s="11" t="n"/>
      <c r="E466" s="7">
        <f>IF(A466="","",IF(OR(A466&lt;TaxStart,A466&gt;TaxEnd),"Outside tax year",IF(A466&lt;DATE(YEAR(TaxStart),7,6),"Q1",IF(A466&lt;DATE(YEAR(TaxStart),10,6),"Q2",IF(A466&lt;DATE(YEAR(TaxStart)+1,1,6),"Q3","Q4")))))</f>
        <v/>
      </c>
    </row>
    <row r="467">
      <c r="A467" s="8" t="n"/>
      <c r="B467" s="13" t="n"/>
      <c r="C467" s="13" t="n"/>
      <c r="D467" s="11" t="n"/>
      <c r="E467" s="7">
        <f>IF(A467="","",IF(OR(A467&lt;TaxStart,A467&gt;TaxEnd),"Outside tax year",IF(A467&lt;DATE(YEAR(TaxStart),7,6),"Q1",IF(A467&lt;DATE(YEAR(TaxStart),10,6),"Q2",IF(A467&lt;DATE(YEAR(TaxStart)+1,1,6),"Q3","Q4")))))</f>
        <v/>
      </c>
    </row>
    <row r="468">
      <c r="A468" s="8" t="n"/>
      <c r="B468" s="13" t="n"/>
      <c r="C468" s="13" t="n"/>
      <c r="D468" s="11" t="n"/>
      <c r="E468" s="7">
        <f>IF(A468="","",IF(OR(A468&lt;TaxStart,A468&gt;TaxEnd),"Outside tax year",IF(A468&lt;DATE(YEAR(TaxStart),7,6),"Q1",IF(A468&lt;DATE(YEAR(TaxStart),10,6),"Q2",IF(A468&lt;DATE(YEAR(TaxStart)+1,1,6),"Q3","Q4")))))</f>
        <v/>
      </c>
    </row>
    <row r="469">
      <c r="A469" s="8" t="n"/>
      <c r="B469" s="13" t="n"/>
      <c r="C469" s="13" t="n"/>
      <c r="D469" s="11" t="n"/>
      <c r="E469" s="7">
        <f>IF(A469="","",IF(OR(A469&lt;TaxStart,A469&gt;TaxEnd),"Outside tax year",IF(A469&lt;DATE(YEAR(TaxStart),7,6),"Q1",IF(A469&lt;DATE(YEAR(TaxStart),10,6),"Q2",IF(A469&lt;DATE(YEAR(TaxStart)+1,1,6),"Q3","Q4")))))</f>
        <v/>
      </c>
    </row>
    <row r="470">
      <c r="A470" s="8" t="n"/>
      <c r="B470" s="13" t="n"/>
      <c r="C470" s="13" t="n"/>
      <c r="D470" s="11" t="n"/>
      <c r="E470" s="7">
        <f>IF(A470="","",IF(OR(A470&lt;TaxStart,A470&gt;TaxEnd),"Outside tax year",IF(A470&lt;DATE(YEAR(TaxStart),7,6),"Q1",IF(A470&lt;DATE(YEAR(TaxStart),10,6),"Q2",IF(A470&lt;DATE(YEAR(TaxStart)+1,1,6),"Q3","Q4")))))</f>
        <v/>
      </c>
    </row>
    <row r="471">
      <c r="A471" s="8" t="n"/>
      <c r="B471" s="13" t="n"/>
      <c r="C471" s="13" t="n"/>
      <c r="D471" s="11" t="n"/>
      <c r="E471" s="7">
        <f>IF(A471="","",IF(OR(A471&lt;TaxStart,A471&gt;TaxEnd),"Outside tax year",IF(A471&lt;DATE(YEAR(TaxStart),7,6),"Q1",IF(A471&lt;DATE(YEAR(TaxStart),10,6),"Q2",IF(A471&lt;DATE(YEAR(TaxStart)+1,1,6),"Q3","Q4")))))</f>
        <v/>
      </c>
    </row>
    <row r="472">
      <c r="A472" s="8" t="n"/>
      <c r="B472" s="13" t="n"/>
      <c r="C472" s="13" t="n"/>
      <c r="D472" s="11" t="n"/>
      <c r="E472" s="7">
        <f>IF(A472="","",IF(OR(A472&lt;TaxStart,A472&gt;TaxEnd),"Outside tax year",IF(A472&lt;DATE(YEAR(TaxStart),7,6),"Q1",IF(A472&lt;DATE(YEAR(TaxStart),10,6),"Q2",IF(A472&lt;DATE(YEAR(TaxStart)+1,1,6),"Q3","Q4")))))</f>
        <v/>
      </c>
    </row>
    <row r="473">
      <c r="A473" s="8" t="n"/>
      <c r="B473" s="13" t="n"/>
      <c r="C473" s="13" t="n"/>
      <c r="D473" s="11" t="n"/>
      <c r="E473" s="7">
        <f>IF(A473="","",IF(OR(A473&lt;TaxStart,A473&gt;TaxEnd),"Outside tax year",IF(A473&lt;DATE(YEAR(TaxStart),7,6),"Q1",IF(A473&lt;DATE(YEAR(TaxStart),10,6),"Q2",IF(A473&lt;DATE(YEAR(TaxStart)+1,1,6),"Q3","Q4")))))</f>
        <v/>
      </c>
    </row>
    <row r="474">
      <c r="A474" s="8" t="n"/>
      <c r="B474" s="13" t="n"/>
      <c r="C474" s="13" t="n"/>
      <c r="D474" s="11" t="n"/>
      <c r="E474" s="7">
        <f>IF(A474="","",IF(OR(A474&lt;TaxStart,A474&gt;TaxEnd),"Outside tax year",IF(A474&lt;DATE(YEAR(TaxStart),7,6),"Q1",IF(A474&lt;DATE(YEAR(TaxStart),10,6),"Q2",IF(A474&lt;DATE(YEAR(TaxStart)+1,1,6),"Q3","Q4")))))</f>
        <v/>
      </c>
    </row>
    <row r="475">
      <c r="A475" s="8" t="n"/>
      <c r="B475" s="13" t="n"/>
      <c r="C475" s="13" t="n"/>
      <c r="D475" s="11" t="n"/>
      <c r="E475" s="7">
        <f>IF(A475="","",IF(OR(A475&lt;TaxStart,A475&gt;TaxEnd),"Outside tax year",IF(A475&lt;DATE(YEAR(TaxStart),7,6),"Q1",IF(A475&lt;DATE(YEAR(TaxStart),10,6),"Q2",IF(A475&lt;DATE(YEAR(TaxStart)+1,1,6),"Q3","Q4")))))</f>
        <v/>
      </c>
    </row>
    <row r="476">
      <c r="A476" s="8" t="n"/>
      <c r="B476" s="13" t="n"/>
      <c r="C476" s="13" t="n"/>
      <c r="D476" s="11" t="n"/>
      <c r="E476" s="7">
        <f>IF(A476="","",IF(OR(A476&lt;TaxStart,A476&gt;TaxEnd),"Outside tax year",IF(A476&lt;DATE(YEAR(TaxStart),7,6),"Q1",IF(A476&lt;DATE(YEAR(TaxStart),10,6),"Q2",IF(A476&lt;DATE(YEAR(TaxStart)+1,1,6),"Q3","Q4")))))</f>
        <v/>
      </c>
    </row>
    <row r="477">
      <c r="A477" s="8" t="n"/>
      <c r="B477" s="13" t="n"/>
      <c r="C477" s="13" t="n"/>
      <c r="D477" s="11" t="n"/>
      <c r="E477" s="7">
        <f>IF(A477="","",IF(OR(A477&lt;TaxStart,A477&gt;TaxEnd),"Outside tax year",IF(A477&lt;DATE(YEAR(TaxStart),7,6),"Q1",IF(A477&lt;DATE(YEAR(TaxStart),10,6),"Q2",IF(A477&lt;DATE(YEAR(TaxStart)+1,1,6),"Q3","Q4")))))</f>
        <v/>
      </c>
    </row>
    <row r="478">
      <c r="A478" s="8" t="n"/>
      <c r="B478" s="13" t="n"/>
      <c r="C478" s="13" t="n"/>
      <c r="D478" s="11" t="n"/>
      <c r="E478" s="7">
        <f>IF(A478="","",IF(OR(A478&lt;TaxStart,A478&gt;TaxEnd),"Outside tax year",IF(A478&lt;DATE(YEAR(TaxStart),7,6),"Q1",IF(A478&lt;DATE(YEAR(TaxStart),10,6),"Q2",IF(A478&lt;DATE(YEAR(TaxStart)+1,1,6),"Q3","Q4")))))</f>
        <v/>
      </c>
    </row>
    <row r="479">
      <c r="A479" s="8" t="n"/>
      <c r="B479" s="13" t="n"/>
      <c r="C479" s="13" t="n"/>
      <c r="D479" s="11" t="n"/>
      <c r="E479" s="7">
        <f>IF(A479="","",IF(OR(A479&lt;TaxStart,A479&gt;TaxEnd),"Outside tax year",IF(A479&lt;DATE(YEAR(TaxStart),7,6),"Q1",IF(A479&lt;DATE(YEAR(TaxStart),10,6),"Q2",IF(A479&lt;DATE(YEAR(TaxStart)+1,1,6),"Q3","Q4")))))</f>
        <v/>
      </c>
    </row>
    <row r="480">
      <c r="A480" s="8" t="n"/>
      <c r="B480" s="13" t="n"/>
      <c r="C480" s="13" t="n"/>
      <c r="D480" s="11" t="n"/>
      <c r="E480" s="7">
        <f>IF(A480="","",IF(OR(A480&lt;TaxStart,A480&gt;TaxEnd),"Outside tax year",IF(A480&lt;DATE(YEAR(TaxStart),7,6),"Q1",IF(A480&lt;DATE(YEAR(TaxStart),10,6),"Q2",IF(A480&lt;DATE(YEAR(TaxStart)+1,1,6),"Q3","Q4")))))</f>
        <v/>
      </c>
    </row>
    <row r="481">
      <c r="A481" s="8" t="n"/>
      <c r="B481" s="13" t="n"/>
      <c r="C481" s="13" t="n"/>
      <c r="D481" s="11" t="n"/>
      <c r="E481" s="7">
        <f>IF(A481="","",IF(OR(A481&lt;TaxStart,A481&gt;TaxEnd),"Outside tax year",IF(A481&lt;DATE(YEAR(TaxStart),7,6),"Q1",IF(A481&lt;DATE(YEAR(TaxStart),10,6),"Q2",IF(A481&lt;DATE(YEAR(TaxStart)+1,1,6),"Q3","Q4")))))</f>
        <v/>
      </c>
    </row>
    <row r="482">
      <c r="A482" s="8" t="n"/>
      <c r="B482" s="13" t="n"/>
      <c r="C482" s="13" t="n"/>
      <c r="D482" s="11" t="n"/>
      <c r="E482" s="7">
        <f>IF(A482="","",IF(OR(A482&lt;TaxStart,A482&gt;TaxEnd),"Outside tax year",IF(A482&lt;DATE(YEAR(TaxStart),7,6),"Q1",IF(A482&lt;DATE(YEAR(TaxStart),10,6),"Q2",IF(A482&lt;DATE(YEAR(TaxStart)+1,1,6),"Q3","Q4")))))</f>
        <v/>
      </c>
    </row>
    <row r="483">
      <c r="A483" s="8" t="n"/>
      <c r="B483" s="13" t="n"/>
      <c r="C483" s="13" t="n"/>
      <c r="D483" s="11" t="n"/>
      <c r="E483" s="7">
        <f>IF(A483="","",IF(OR(A483&lt;TaxStart,A483&gt;TaxEnd),"Outside tax year",IF(A483&lt;DATE(YEAR(TaxStart),7,6),"Q1",IF(A483&lt;DATE(YEAR(TaxStart),10,6),"Q2",IF(A483&lt;DATE(YEAR(TaxStart)+1,1,6),"Q3","Q4")))))</f>
        <v/>
      </c>
    </row>
    <row r="484">
      <c r="A484" s="8" t="n"/>
      <c r="B484" s="13" t="n"/>
      <c r="C484" s="13" t="n"/>
      <c r="D484" s="11" t="n"/>
      <c r="E484" s="7">
        <f>IF(A484="","",IF(OR(A484&lt;TaxStart,A484&gt;TaxEnd),"Outside tax year",IF(A484&lt;DATE(YEAR(TaxStart),7,6),"Q1",IF(A484&lt;DATE(YEAR(TaxStart),10,6),"Q2",IF(A484&lt;DATE(YEAR(TaxStart)+1,1,6),"Q3","Q4")))))</f>
        <v/>
      </c>
    </row>
    <row r="485">
      <c r="A485" s="8" t="n"/>
      <c r="B485" s="13" t="n"/>
      <c r="C485" s="13" t="n"/>
      <c r="D485" s="11" t="n"/>
      <c r="E485" s="7">
        <f>IF(A485="","",IF(OR(A485&lt;TaxStart,A485&gt;TaxEnd),"Outside tax year",IF(A485&lt;DATE(YEAR(TaxStart),7,6),"Q1",IF(A485&lt;DATE(YEAR(TaxStart),10,6),"Q2",IF(A485&lt;DATE(YEAR(TaxStart)+1,1,6),"Q3","Q4")))))</f>
        <v/>
      </c>
    </row>
    <row r="486">
      <c r="A486" s="8" t="n"/>
      <c r="B486" s="13" t="n"/>
      <c r="C486" s="13" t="n"/>
      <c r="D486" s="11" t="n"/>
      <c r="E486" s="7">
        <f>IF(A486="","",IF(OR(A486&lt;TaxStart,A486&gt;TaxEnd),"Outside tax year",IF(A486&lt;DATE(YEAR(TaxStart),7,6),"Q1",IF(A486&lt;DATE(YEAR(TaxStart),10,6),"Q2",IF(A486&lt;DATE(YEAR(TaxStart)+1,1,6),"Q3","Q4")))))</f>
        <v/>
      </c>
    </row>
    <row r="487">
      <c r="A487" s="8" t="n"/>
      <c r="B487" s="13" t="n"/>
      <c r="C487" s="13" t="n"/>
      <c r="D487" s="11" t="n"/>
      <c r="E487" s="7">
        <f>IF(A487="","",IF(OR(A487&lt;TaxStart,A487&gt;TaxEnd),"Outside tax year",IF(A487&lt;DATE(YEAR(TaxStart),7,6),"Q1",IF(A487&lt;DATE(YEAR(TaxStart),10,6),"Q2",IF(A487&lt;DATE(YEAR(TaxStart)+1,1,6),"Q3","Q4")))))</f>
        <v/>
      </c>
    </row>
    <row r="488">
      <c r="A488" s="8" t="n"/>
      <c r="B488" s="13" t="n"/>
      <c r="C488" s="13" t="n"/>
      <c r="D488" s="11" t="n"/>
      <c r="E488" s="7">
        <f>IF(A488="","",IF(OR(A488&lt;TaxStart,A488&gt;TaxEnd),"Outside tax year",IF(A488&lt;DATE(YEAR(TaxStart),7,6),"Q1",IF(A488&lt;DATE(YEAR(TaxStart),10,6),"Q2",IF(A488&lt;DATE(YEAR(TaxStart)+1,1,6),"Q3","Q4")))))</f>
        <v/>
      </c>
    </row>
    <row r="489">
      <c r="A489" s="8" t="n"/>
      <c r="B489" s="13" t="n"/>
      <c r="C489" s="13" t="n"/>
      <c r="D489" s="11" t="n"/>
      <c r="E489" s="7">
        <f>IF(A489="","",IF(OR(A489&lt;TaxStart,A489&gt;TaxEnd),"Outside tax year",IF(A489&lt;DATE(YEAR(TaxStart),7,6),"Q1",IF(A489&lt;DATE(YEAR(TaxStart),10,6),"Q2",IF(A489&lt;DATE(YEAR(TaxStart)+1,1,6),"Q3","Q4")))))</f>
        <v/>
      </c>
    </row>
    <row r="490">
      <c r="A490" s="8" t="n"/>
      <c r="B490" s="13" t="n"/>
      <c r="C490" s="13" t="n"/>
      <c r="D490" s="11" t="n"/>
      <c r="E490" s="7">
        <f>IF(A490="","",IF(OR(A490&lt;TaxStart,A490&gt;TaxEnd),"Outside tax year",IF(A490&lt;DATE(YEAR(TaxStart),7,6),"Q1",IF(A490&lt;DATE(YEAR(TaxStart),10,6),"Q2",IF(A490&lt;DATE(YEAR(TaxStart)+1,1,6),"Q3","Q4")))))</f>
        <v/>
      </c>
    </row>
    <row r="491">
      <c r="A491" s="8" t="n"/>
      <c r="B491" s="13" t="n"/>
      <c r="C491" s="13" t="n"/>
      <c r="D491" s="11" t="n"/>
      <c r="E491" s="7">
        <f>IF(A491="","",IF(OR(A491&lt;TaxStart,A491&gt;TaxEnd),"Outside tax year",IF(A491&lt;DATE(YEAR(TaxStart),7,6),"Q1",IF(A491&lt;DATE(YEAR(TaxStart),10,6),"Q2",IF(A491&lt;DATE(YEAR(TaxStart)+1,1,6),"Q3","Q4")))))</f>
        <v/>
      </c>
    </row>
    <row r="492">
      <c r="A492" s="8" t="n"/>
      <c r="B492" s="13" t="n"/>
      <c r="C492" s="13" t="n"/>
      <c r="D492" s="11" t="n"/>
      <c r="E492" s="7">
        <f>IF(A492="","",IF(OR(A492&lt;TaxStart,A492&gt;TaxEnd),"Outside tax year",IF(A492&lt;DATE(YEAR(TaxStart),7,6),"Q1",IF(A492&lt;DATE(YEAR(TaxStart),10,6),"Q2",IF(A492&lt;DATE(YEAR(TaxStart)+1,1,6),"Q3","Q4")))))</f>
        <v/>
      </c>
    </row>
    <row r="493">
      <c r="A493" s="8" t="n"/>
      <c r="B493" s="13" t="n"/>
      <c r="C493" s="13" t="n"/>
      <c r="D493" s="11" t="n"/>
      <c r="E493" s="7">
        <f>IF(A493="","",IF(OR(A493&lt;TaxStart,A493&gt;TaxEnd),"Outside tax year",IF(A493&lt;DATE(YEAR(TaxStart),7,6),"Q1",IF(A493&lt;DATE(YEAR(TaxStart),10,6),"Q2",IF(A493&lt;DATE(YEAR(TaxStart)+1,1,6),"Q3","Q4")))))</f>
        <v/>
      </c>
    </row>
    <row r="494">
      <c r="A494" s="8" t="n"/>
      <c r="B494" s="13" t="n"/>
      <c r="C494" s="13" t="n"/>
      <c r="D494" s="11" t="n"/>
      <c r="E494" s="7">
        <f>IF(A494="","",IF(OR(A494&lt;TaxStart,A494&gt;TaxEnd),"Outside tax year",IF(A494&lt;DATE(YEAR(TaxStart),7,6),"Q1",IF(A494&lt;DATE(YEAR(TaxStart),10,6),"Q2",IF(A494&lt;DATE(YEAR(TaxStart)+1,1,6),"Q3","Q4")))))</f>
        <v/>
      </c>
    </row>
    <row r="495">
      <c r="A495" s="8" t="n"/>
      <c r="B495" s="13" t="n"/>
      <c r="C495" s="13" t="n"/>
      <c r="D495" s="11" t="n"/>
      <c r="E495" s="7">
        <f>IF(A495="","",IF(OR(A495&lt;TaxStart,A495&gt;TaxEnd),"Outside tax year",IF(A495&lt;DATE(YEAR(TaxStart),7,6),"Q1",IF(A495&lt;DATE(YEAR(TaxStart),10,6),"Q2",IF(A495&lt;DATE(YEAR(TaxStart)+1,1,6),"Q3","Q4")))))</f>
        <v/>
      </c>
    </row>
    <row r="496">
      <c r="A496" s="8" t="n"/>
      <c r="B496" s="13" t="n"/>
      <c r="C496" s="13" t="n"/>
      <c r="D496" s="11" t="n"/>
      <c r="E496" s="7">
        <f>IF(A496="","",IF(OR(A496&lt;TaxStart,A496&gt;TaxEnd),"Outside tax year",IF(A496&lt;DATE(YEAR(TaxStart),7,6),"Q1",IF(A496&lt;DATE(YEAR(TaxStart),10,6),"Q2",IF(A496&lt;DATE(YEAR(TaxStart)+1,1,6),"Q3","Q4")))))</f>
        <v/>
      </c>
    </row>
    <row r="497">
      <c r="A497" s="8" t="n"/>
      <c r="B497" s="13" t="n"/>
      <c r="C497" s="13" t="n"/>
      <c r="D497" s="11" t="n"/>
      <c r="E497" s="7">
        <f>IF(A497="","",IF(OR(A497&lt;TaxStart,A497&gt;TaxEnd),"Outside tax year",IF(A497&lt;DATE(YEAR(TaxStart),7,6),"Q1",IF(A497&lt;DATE(YEAR(TaxStart),10,6),"Q2",IF(A497&lt;DATE(YEAR(TaxStart)+1,1,6),"Q3","Q4")))))</f>
        <v/>
      </c>
    </row>
    <row r="498">
      <c r="A498" s="8" t="n"/>
      <c r="B498" s="13" t="n"/>
      <c r="C498" s="13" t="n"/>
      <c r="D498" s="11" t="n"/>
      <c r="E498" s="7">
        <f>IF(A498="","",IF(OR(A498&lt;TaxStart,A498&gt;TaxEnd),"Outside tax year",IF(A498&lt;DATE(YEAR(TaxStart),7,6),"Q1",IF(A498&lt;DATE(YEAR(TaxStart),10,6),"Q2",IF(A498&lt;DATE(YEAR(TaxStart)+1,1,6),"Q3","Q4")))))</f>
        <v/>
      </c>
    </row>
    <row r="499">
      <c r="A499" s="8" t="n"/>
      <c r="B499" s="13" t="n"/>
      <c r="C499" s="13" t="n"/>
      <c r="D499" s="11" t="n"/>
      <c r="E499" s="7">
        <f>IF(A499="","",IF(OR(A499&lt;TaxStart,A499&gt;TaxEnd),"Outside tax year",IF(A499&lt;DATE(YEAR(TaxStart),7,6),"Q1",IF(A499&lt;DATE(YEAR(TaxStart),10,6),"Q2",IF(A499&lt;DATE(YEAR(TaxStart)+1,1,6),"Q3","Q4")))))</f>
        <v/>
      </c>
    </row>
    <row r="500">
      <c r="A500" s="8" t="n"/>
      <c r="B500" s="13" t="n"/>
      <c r="C500" s="13" t="n"/>
      <c r="D500" s="11" t="n"/>
      <c r="E500" s="7">
        <f>IF(A500="","",IF(OR(A500&lt;TaxStart,A500&gt;TaxEnd),"Outside tax year",IF(A500&lt;DATE(YEAR(TaxStart),7,6),"Q1",IF(A500&lt;DATE(YEAR(TaxStart),10,6),"Q2",IF(A500&lt;DATE(YEAR(TaxStart)+1,1,6),"Q3","Q4")))))</f>
        <v/>
      </c>
    </row>
    <row r="501">
      <c r="A501" s="8" t="n"/>
      <c r="B501" s="13" t="n"/>
      <c r="C501" s="13" t="n"/>
      <c r="D501" s="11" t="n"/>
      <c r="E501" s="7">
        <f>IF(A501="","",IF(OR(A501&lt;TaxStart,A501&gt;TaxEnd),"Outside tax year",IF(A501&lt;DATE(YEAR(TaxStart),7,6),"Q1",IF(A501&lt;DATE(YEAR(TaxStart),10,6),"Q2",IF(A501&lt;DATE(YEAR(TaxStart)+1,1,6),"Q3","Q4")))))</f>
        <v/>
      </c>
    </row>
    <row r="502">
      <c r="A502" s="8" t="n"/>
      <c r="B502" s="13" t="n"/>
      <c r="C502" s="13" t="n"/>
      <c r="D502" s="11" t="n"/>
      <c r="E502" s="7">
        <f>IF(A502="","",IF(OR(A502&lt;TaxStart,A502&gt;TaxEnd),"Outside tax year",IF(A502&lt;DATE(YEAR(TaxStart),7,6),"Q1",IF(A502&lt;DATE(YEAR(TaxStart),10,6),"Q2",IF(A502&lt;DATE(YEAR(TaxStart)+1,1,6),"Q3","Q4")))))</f>
        <v/>
      </c>
    </row>
    <row r="503">
      <c r="A503" s="8" t="n"/>
      <c r="B503" s="13" t="n"/>
      <c r="C503" s="13" t="n"/>
      <c r="D503" s="11" t="n"/>
      <c r="E503" s="7">
        <f>IF(A503="","",IF(OR(A503&lt;TaxStart,A503&gt;TaxEnd),"Outside tax year",IF(A503&lt;DATE(YEAR(TaxStart),7,6),"Q1",IF(A503&lt;DATE(YEAR(TaxStart),10,6),"Q2",IF(A503&lt;DATE(YEAR(TaxStart)+1,1,6),"Q3","Q4")))))</f>
        <v/>
      </c>
    </row>
    <row r="504">
      <c r="A504" s="8" t="n"/>
      <c r="B504" s="13" t="n"/>
      <c r="C504" s="13" t="n"/>
      <c r="D504" s="11" t="n"/>
      <c r="E504" s="7">
        <f>IF(A504="","",IF(OR(A504&lt;TaxStart,A504&gt;TaxEnd),"Outside tax year",IF(A504&lt;DATE(YEAR(TaxStart),7,6),"Q1",IF(A504&lt;DATE(YEAR(TaxStart),10,6),"Q2",IF(A504&lt;DATE(YEAR(TaxStart)+1,1,6),"Q3","Q4")))))</f>
        <v/>
      </c>
    </row>
    <row r="505">
      <c r="A505" s="8" t="n"/>
      <c r="B505" s="13" t="n"/>
      <c r="C505" s="13" t="n"/>
      <c r="D505" s="11" t="n"/>
      <c r="E505" s="7">
        <f>IF(A505="","",IF(OR(A505&lt;TaxStart,A505&gt;TaxEnd),"Outside tax year",IF(A505&lt;DATE(YEAR(TaxStart),7,6),"Q1",IF(A505&lt;DATE(YEAR(TaxStart),10,6),"Q2",IF(A505&lt;DATE(YEAR(TaxStart)+1,1,6),"Q3","Q4")))))</f>
        <v/>
      </c>
    </row>
    <row r="506">
      <c r="A506" s="8" t="n"/>
      <c r="B506" s="13" t="n"/>
      <c r="C506" s="13" t="n"/>
      <c r="D506" s="11" t="n"/>
      <c r="E506" s="7">
        <f>IF(A506="","",IF(OR(A506&lt;TaxStart,A506&gt;TaxEnd),"Outside tax year",IF(A506&lt;DATE(YEAR(TaxStart),7,6),"Q1",IF(A506&lt;DATE(YEAR(TaxStart),10,6),"Q2",IF(A506&lt;DATE(YEAR(TaxStart)+1,1,6),"Q3","Q4")))))</f>
        <v/>
      </c>
    </row>
    <row r="507">
      <c r="A507" s="8" t="n"/>
      <c r="B507" s="13" t="n"/>
      <c r="C507" s="13" t="n"/>
      <c r="D507" s="11" t="n"/>
      <c r="E507" s="7">
        <f>IF(A507="","",IF(OR(A507&lt;TaxStart,A507&gt;TaxEnd),"Outside tax year",IF(A507&lt;DATE(YEAR(TaxStart),7,6),"Q1",IF(A507&lt;DATE(YEAR(TaxStart),10,6),"Q2",IF(A507&lt;DATE(YEAR(TaxStart)+1,1,6),"Q3","Q4")))))</f>
        <v/>
      </c>
    </row>
    <row r="508">
      <c r="A508" s="8" t="n"/>
      <c r="B508" s="13" t="n"/>
      <c r="C508" s="13" t="n"/>
      <c r="D508" s="11" t="n"/>
      <c r="E508" s="7">
        <f>IF(A508="","",IF(OR(A508&lt;TaxStart,A508&gt;TaxEnd),"Outside tax year",IF(A508&lt;DATE(YEAR(TaxStart),7,6),"Q1",IF(A508&lt;DATE(YEAR(TaxStart),10,6),"Q2",IF(A508&lt;DATE(YEAR(TaxStart)+1,1,6),"Q3","Q4")))))</f>
        <v/>
      </c>
    </row>
    <row r="509">
      <c r="A509" s="8" t="n"/>
      <c r="B509" s="13" t="n"/>
      <c r="C509" s="13" t="n"/>
      <c r="D509" s="11" t="n"/>
      <c r="E509" s="7">
        <f>IF(A509="","",IF(OR(A509&lt;TaxStart,A509&gt;TaxEnd),"Outside tax year",IF(A509&lt;DATE(YEAR(TaxStart),7,6),"Q1",IF(A509&lt;DATE(YEAR(TaxStart),10,6),"Q2",IF(A509&lt;DATE(YEAR(TaxStart)+1,1,6),"Q3","Q4")))))</f>
        <v/>
      </c>
    </row>
    <row r="510">
      <c r="A510" s="8" t="n"/>
      <c r="B510" s="13" t="n"/>
      <c r="C510" s="13" t="n"/>
      <c r="D510" s="11" t="n"/>
      <c r="E510" s="7">
        <f>IF(A510="","",IF(OR(A510&lt;TaxStart,A510&gt;TaxEnd),"Outside tax year",IF(A510&lt;DATE(YEAR(TaxStart),7,6),"Q1",IF(A510&lt;DATE(YEAR(TaxStart),10,6),"Q2",IF(A510&lt;DATE(YEAR(TaxStart)+1,1,6),"Q3","Q4")))))</f>
        <v/>
      </c>
    </row>
    <row r="511">
      <c r="A511" s="8" t="n"/>
      <c r="B511" s="13" t="n"/>
      <c r="C511" s="13" t="n"/>
      <c r="D511" s="11" t="n"/>
      <c r="E511" s="7">
        <f>IF(A511="","",IF(OR(A511&lt;TaxStart,A511&gt;TaxEnd),"Outside tax year",IF(A511&lt;DATE(YEAR(TaxStart),7,6),"Q1",IF(A511&lt;DATE(YEAR(TaxStart),10,6),"Q2",IF(A511&lt;DATE(YEAR(TaxStart)+1,1,6),"Q3","Q4")))))</f>
        <v/>
      </c>
    </row>
    <row r="512">
      <c r="A512" s="8" t="n"/>
      <c r="B512" s="13" t="n"/>
      <c r="C512" s="13" t="n"/>
      <c r="D512" s="11" t="n"/>
      <c r="E512" s="7">
        <f>IF(A512="","",IF(OR(A512&lt;TaxStart,A512&gt;TaxEnd),"Outside tax year",IF(A512&lt;DATE(YEAR(TaxStart),7,6),"Q1",IF(A512&lt;DATE(YEAR(TaxStart),10,6),"Q2",IF(A512&lt;DATE(YEAR(TaxStart)+1,1,6),"Q3","Q4")))))</f>
        <v/>
      </c>
    </row>
    <row r="513">
      <c r="A513" s="8" t="n"/>
      <c r="B513" s="13" t="n"/>
      <c r="C513" s="13" t="n"/>
      <c r="D513" s="11" t="n"/>
      <c r="E513" s="7">
        <f>IF(A513="","",IF(OR(A513&lt;TaxStart,A513&gt;TaxEnd),"Outside tax year",IF(A513&lt;DATE(YEAR(TaxStart),7,6),"Q1",IF(A513&lt;DATE(YEAR(TaxStart),10,6),"Q2",IF(A513&lt;DATE(YEAR(TaxStart)+1,1,6),"Q3","Q4")))))</f>
        <v/>
      </c>
    </row>
    <row r="514">
      <c r="A514" s="8" t="n"/>
      <c r="B514" s="13" t="n"/>
      <c r="C514" s="13" t="n"/>
      <c r="D514" s="11" t="n"/>
      <c r="E514" s="7">
        <f>IF(A514="","",IF(OR(A514&lt;TaxStart,A514&gt;TaxEnd),"Outside tax year",IF(A514&lt;DATE(YEAR(TaxStart),7,6),"Q1",IF(A514&lt;DATE(YEAR(TaxStart),10,6),"Q2",IF(A514&lt;DATE(YEAR(TaxStart)+1,1,6),"Q3","Q4")))))</f>
        <v/>
      </c>
    </row>
    <row r="515">
      <c r="A515" s="8" t="n"/>
      <c r="B515" s="13" t="n"/>
      <c r="C515" s="13" t="n"/>
      <c r="D515" s="11" t="n"/>
      <c r="E515" s="7">
        <f>IF(A515="","",IF(OR(A515&lt;TaxStart,A515&gt;TaxEnd),"Outside tax year",IF(A515&lt;DATE(YEAR(TaxStart),7,6),"Q1",IF(A515&lt;DATE(YEAR(TaxStart),10,6),"Q2",IF(A515&lt;DATE(YEAR(TaxStart)+1,1,6),"Q3","Q4")))))</f>
        <v/>
      </c>
    </row>
    <row r="516">
      <c r="A516" s="8" t="n"/>
      <c r="B516" s="13" t="n"/>
      <c r="C516" s="13" t="n"/>
      <c r="D516" s="11" t="n"/>
      <c r="E516" s="7">
        <f>IF(A516="","",IF(OR(A516&lt;TaxStart,A516&gt;TaxEnd),"Outside tax year",IF(A516&lt;DATE(YEAR(TaxStart),7,6),"Q1",IF(A516&lt;DATE(YEAR(TaxStart),10,6),"Q2",IF(A516&lt;DATE(YEAR(TaxStart)+1,1,6),"Q3","Q4")))))</f>
        <v/>
      </c>
    </row>
    <row r="517">
      <c r="A517" s="8" t="n"/>
      <c r="B517" s="13" t="n"/>
      <c r="C517" s="13" t="n"/>
      <c r="D517" s="11" t="n"/>
      <c r="E517" s="7">
        <f>IF(A517="","",IF(OR(A517&lt;TaxStart,A517&gt;TaxEnd),"Outside tax year",IF(A517&lt;DATE(YEAR(TaxStart),7,6),"Q1",IF(A517&lt;DATE(YEAR(TaxStart),10,6),"Q2",IF(A517&lt;DATE(YEAR(TaxStart)+1,1,6),"Q3","Q4")))))</f>
        <v/>
      </c>
    </row>
    <row r="518">
      <c r="A518" s="8" t="n"/>
      <c r="B518" s="13" t="n"/>
      <c r="C518" s="13" t="n"/>
      <c r="D518" s="11" t="n"/>
      <c r="E518" s="7">
        <f>IF(A518="","",IF(OR(A518&lt;TaxStart,A518&gt;TaxEnd),"Outside tax year",IF(A518&lt;DATE(YEAR(TaxStart),7,6),"Q1",IF(A518&lt;DATE(YEAR(TaxStart),10,6),"Q2",IF(A518&lt;DATE(YEAR(TaxStart)+1,1,6),"Q3","Q4")))))</f>
        <v/>
      </c>
    </row>
    <row r="519">
      <c r="A519" s="8" t="n"/>
      <c r="B519" s="13" t="n"/>
      <c r="C519" s="13" t="n"/>
      <c r="D519" s="11" t="n"/>
      <c r="E519" s="7">
        <f>IF(A519="","",IF(OR(A519&lt;TaxStart,A519&gt;TaxEnd),"Outside tax year",IF(A519&lt;DATE(YEAR(TaxStart),7,6),"Q1",IF(A519&lt;DATE(YEAR(TaxStart),10,6),"Q2",IF(A519&lt;DATE(YEAR(TaxStart)+1,1,6),"Q3","Q4")))))</f>
        <v/>
      </c>
    </row>
    <row r="520">
      <c r="A520" s="8" t="n"/>
      <c r="B520" s="13" t="n"/>
      <c r="C520" s="13" t="n"/>
      <c r="D520" s="11" t="n"/>
      <c r="E520" s="7">
        <f>IF(A520="","",IF(OR(A520&lt;TaxStart,A520&gt;TaxEnd),"Outside tax year",IF(A520&lt;DATE(YEAR(TaxStart),7,6),"Q1",IF(A520&lt;DATE(YEAR(TaxStart),10,6),"Q2",IF(A520&lt;DATE(YEAR(TaxStart)+1,1,6),"Q3","Q4")))))</f>
        <v/>
      </c>
    </row>
    <row r="521">
      <c r="A521" s="8" t="n"/>
      <c r="B521" s="13" t="n"/>
      <c r="C521" s="13" t="n"/>
      <c r="D521" s="11" t="n"/>
      <c r="E521" s="7">
        <f>IF(A521="","",IF(OR(A521&lt;TaxStart,A521&gt;TaxEnd),"Outside tax year",IF(A521&lt;DATE(YEAR(TaxStart),7,6),"Q1",IF(A521&lt;DATE(YEAR(TaxStart),10,6),"Q2",IF(A521&lt;DATE(YEAR(TaxStart)+1,1,6),"Q3","Q4")))))</f>
        <v/>
      </c>
    </row>
    <row r="522">
      <c r="A522" s="8" t="n"/>
      <c r="B522" s="13" t="n"/>
      <c r="C522" s="13" t="n"/>
      <c r="D522" s="11" t="n"/>
      <c r="E522" s="7">
        <f>IF(A522="","",IF(OR(A522&lt;TaxStart,A522&gt;TaxEnd),"Outside tax year",IF(A522&lt;DATE(YEAR(TaxStart),7,6),"Q1",IF(A522&lt;DATE(YEAR(TaxStart),10,6),"Q2",IF(A522&lt;DATE(YEAR(TaxStart)+1,1,6),"Q3","Q4")))))</f>
        <v/>
      </c>
    </row>
    <row r="523">
      <c r="A523" s="8" t="n"/>
      <c r="B523" s="13" t="n"/>
      <c r="C523" s="13" t="n"/>
      <c r="D523" s="11" t="n"/>
      <c r="E523" s="7">
        <f>IF(A523="","",IF(OR(A523&lt;TaxStart,A523&gt;TaxEnd),"Outside tax year",IF(A523&lt;DATE(YEAR(TaxStart),7,6),"Q1",IF(A523&lt;DATE(YEAR(TaxStart),10,6),"Q2",IF(A523&lt;DATE(YEAR(TaxStart)+1,1,6),"Q3","Q4")))))</f>
        <v/>
      </c>
    </row>
    <row r="524">
      <c r="A524" s="8" t="n"/>
      <c r="B524" s="13" t="n"/>
      <c r="C524" s="13" t="n"/>
      <c r="D524" s="11" t="n"/>
      <c r="E524" s="7">
        <f>IF(A524="","",IF(OR(A524&lt;TaxStart,A524&gt;TaxEnd),"Outside tax year",IF(A524&lt;DATE(YEAR(TaxStart),7,6),"Q1",IF(A524&lt;DATE(YEAR(TaxStart),10,6),"Q2",IF(A524&lt;DATE(YEAR(TaxStart)+1,1,6),"Q3","Q4")))))</f>
        <v/>
      </c>
    </row>
    <row r="525">
      <c r="A525" s="8" t="n"/>
      <c r="B525" s="13" t="n"/>
      <c r="C525" s="13" t="n"/>
      <c r="D525" s="11" t="n"/>
      <c r="E525" s="7">
        <f>IF(A525="","",IF(OR(A525&lt;TaxStart,A525&gt;TaxEnd),"Outside tax year",IF(A525&lt;DATE(YEAR(TaxStart),7,6),"Q1",IF(A525&lt;DATE(YEAR(TaxStart),10,6),"Q2",IF(A525&lt;DATE(YEAR(TaxStart)+1,1,6),"Q3","Q4")))))</f>
        <v/>
      </c>
    </row>
    <row r="526">
      <c r="A526" s="8" t="n"/>
      <c r="B526" s="13" t="n"/>
      <c r="C526" s="13" t="n"/>
      <c r="D526" s="11" t="n"/>
      <c r="E526" s="7">
        <f>IF(A526="","",IF(OR(A526&lt;TaxStart,A526&gt;TaxEnd),"Outside tax year",IF(A526&lt;DATE(YEAR(TaxStart),7,6),"Q1",IF(A526&lt;DATE(YEAR(TaxStart),10,6),"Q2",IF(A526&lt;DATE(YEAR(TaxStart)+1,1,6),"Q3","Q4")))))</f>
        <v/>
      </c>
    </row>
    <row r="527">
      <c r="A527" s="8" t="n"/>
      <c r="B527" s="13" t="n"/>
      <c r="C527" s="13" t="n"/>
      <c r="D527" s="11" t="n"/>
      <c r="E527" s="7">
        <f>IF(A527="","",IF(OR(A527&lt;TaxStart,A527&gt;TaxEnd),"Outside tax year",IF(A527&lt;DATE(YEAR(TaxStart),7,6),"Q1",IF(A527&lt;DATE(YEAR(TaxStart),10,6),"Q2",IF(A527&lt;DATE(YEAR(TaxStart)+1,1,6),"Q3","Q4")))))</f>
        <v/>
      </c>
    </row>
    <row r="528">
      <c r="A528" s="8" t="n"/>
      <c r="B528" s="13" t="n"/>
      <c r="C528" s="13" t="n"/>
      <c r="D528" s="11" t="n"/>
      <c r="E528" s="7">
        <f>IF(A528="","",IF(OR(A528&lt;TaxStart,A528&gt;TaxEnd),"Outside tax year",IF(A528&lt;DATE(YEAR(TaxStart),7,6),"Q1",IF(A528&lt;DATE(YEAR(TaxStart),10,6),"Q2",IF(A528&lt;DATE(YEAR(TaxStart)+1,1,6),"Q3","Q4")))))</f>
        <v/>
      </c>
    </row>
    <row r="529">
      <c r="A529" s="8" t="n"/>
      <c r="B529" s="13" t="n"/>
      <c r="C529" s="13" t="n"/>
      <c r="D529" s="11" t="n"/>
      <c r="E529" s="7">
        <f>IF(A529="","",IF(OR(A529&lt;TaxStart,A529&gt;TaxEnd),"Outside tax year",IF(A529&lt;DATE(YEAR(TaxStart),7,6),"Q1",IF(A529&lt;DATE(YEAR(TaxStart),10,6),"Q2",IF(A529&lt;DATE(YEAR(TaxStart)+1,1,6),"Q3","Q4")))))</f>
        <v/>
      </c>
    </row>
    <row r="530">
      <c r="A530" s="8" t="n"/>
      <c r="B530" s="13" t="n"/>
      <c r="C530" s="13" t="n"/>
      <c r="D530" s="11" t="n"/>
      <c r="E530" s="7">
        <f>IF(A530="","",IF(OR(A530&lt;TaxStart,A530&gt;TaxEnd),"Outside tax year",IF(A530&lt;DATE(YEAR(TaxStart),7,6),"Q1",IF(A530&lt;DATE(YEAR(TaxStart),10,6),"Q2",IF(A530&lt;DATE(YEAR(TaxStart)+1,1,6),"Q3","Q4")))))</f>
        <v/>
      </c>
    </row>
    <row r="531">
      <c r="A531" s="8" t="n"/>
      <c r="B531" s="13" t="n"/>
      <c r="C531" s="13" t="n"/>
      <c r="D531" s="11" t="n"/>
      <c r="E531" s="7">
        <f>IF(A531="","",IF(OR(A531&lt;TaxStart,A531&gt;TaxEnd),"Outside tax year",IF(A531&lt;DATE(YEAR(TaxStart),7,6),"Q1",IF(A531&lt;DATE(YEAR(TaxStart),10,6),"Q2",IF(A531&lt;DATE(YEAR(TaxStart)+1,1,6),"Q3","Q4")))))</f>
        <v/>
      </c>
    </row>
    <row r="532">
      <c r="A532" s="8" t="n"/>
      <c r="B532" s="13" t="n"/>
      <c r="C532" s="13" t="n"/>
      <c r="D532" s="11" t="n"/>
      <c r="E532" s="7">
        <f>IF(A532="","",IF(OR(A532&lt;TaxStart,A532&gt;TaxEnd),"Outside tax year",IF(A532&lt;DATE(YEAR(TaxStart),7,6),"Q1",IF(A532&lt;DATE(YEAR(TaxStart),10,6),"Q2",IF(A532&lt;DATE(YEAR(TaxStart)+1,1,6),"Q3","Q4")))))</f>
        <v/>
      </c>
    </row>
    <row r="533">
      <c r="A533" s="8" t="n"/>
      <c r="B533" s="13" t="n"/>
      <c r="C533" s="13" t="n"/>
      <c r="D533" s="11" t="n"/>
      <c r="E533" s="7">
        <f>IF(A533="","",IF(OR(A533&lt;TaxStart,A533&gt;TaxEnd),"Outside tax year",IF(A533&lt;DATE(YEAR(TaxStart),7,6),"Q1",IF(A533&lt;DATE(YEAR(TaxStart),10,6),"Q2",IF(A533&lt;DATE(YEAR(TaxStart)+1,1,6),"Q3","Q4")))))</f>
        <v/>
      </c>
    </row>
    <row r="534">
      <c r="A534" s="8" t="n"/>
      <c r="B534" s="13" t="n"/>
      <c r="C534" s="13" t="n"/>
      <c r="D534" s="11" t="n"/>
      <c r="E534" s="7">
        <f>IF(A534="","",IF(OR(A534&lt;TaxStart,A534&gt;TaxEnd),"Outside tax year",IF(A534&lt;DATE(YEAR(TaxStart),7,6),"Q1",IF(A534&lt;DATE(YEAR(TaxStart),10,6),"Q2",IF(A534&lt;DATE(YEAR(TaxStart)+1,1,6),"Q3","Q4")))))</f>
        <v/>
      </c>
    </row>
    <row r="535">
      <c r="A535" s="8" t="n"/>
      <c r="B535" s="13" t="n"/>
      <c r="C535" s="13" t="n"/>
      <c r="D535" s="11" t="n"/>
      <c r="E535" s="7">
        <f>IF(A535="","",IF(OR(A535&lt;TaxStart,A535&gt;TaxEnd),"Outside tax year",IF(A535&lt;DATE(YEAR(TaxStart),7,6),"Q1",IF(A535&lt;DATE(YEAR(TaxStart),10,6),"Q2",IF(A535&lt;DATE(YEAR(TaxStart)+1,1,6),"Q3","Q4")))))</f>
        <v/>
      </c>
    </row>
    <row r="536">
      <c r="A536" s="8" t="n"/>
      <c r="B536" s="13" t="n"/>
      <c r="C536" s="13" t="n"/>
      <c r="D536" s="11" t="n"/>
      <c r="E536" s="7">
        <f>IF(A536="","",IF(OR(A536&lt;TaxStart,A536&gt;TaxEnd),"Outside tax year",IF(A536&lt;DATE(YEAR(TaxStart),7,6),"Q1",IF(A536&lt;DATE(YEAR(TaxStart),10,6),"Q2",IF(A536&lt;DATE(YEAR(TaxStart)+1,1,6),"Q3","Q4")))))</f>
        <v/>
      </c>
    </row>
    <row r="537">
      <c r="A537" s="8" t="n"/>
      <c r="B537" s="13" t="n"/>
      <c r="C537" s="13" t="n"/>
      <c r="D537" s="11" t="n"/>
      <c r="E537" s="7">
        <f>IF(A537="","",IF(OR(A537&lt;TaxStart,A537&gt;TaxEnd),"Outside tax year",IF(A537&lt;DATE(YEAR(TaxStart),7,6),"Q1",IF(A537&lt;DATE(YEAR(TaxStart),10,6),"Q2",IF(A537&lt;DATE(YEAR(TaxStart)+1,1,6),"Q3","Q4")))))</f>
        <v/>
      </c>
    </row>
    <row r="538">
      <c r="A538" s="8" t="n"/>
      <c r="B538" s="13" t="n"/>
      <c r="C538" s="13" t="n"/>
      <c r="D538" s="11" t="n"/>
      <c r="E538" s="7">
        <f>IF(A538="","",IF(OR(A538&lt;TaxStart,A538&gt;TaxEnd),"Outside tax year",IF(A538&lt;DATE(YEAR(TaxStart),7,6),"Q1",IF(A538&lt;DATE(YEAR(TaxStart),10,6),"Q2",IF(A538&lt;DATE(YEAR(TaxStart)+1,1,6),"Q3","Q4")))))</f>
        <v/>
      </c>
    </row>
    <row r="539">
      <c r="A539" s="8" t="n"/>
      <c r="B539" s="13" t="n"/>
      <c r="C539" s="13" t="n"/>
      <c r="D539" s="11" t="n"/>
      <c r="E539" s="7">
        <f>IF(A539="","",IF(OR(A539&lt;TaxStart,A539&gt;TaxEnd),"Outside tax year",IF(A539&lt;DATE(YEAR(TaxStart),7,6),"Q1",IF(A539&lt;DATE(YEAR(TaxStart),10,6),"Q2",IF(A539&lt;DATE(YEAR(TaxStart)+1,1,6),"Q3","Q4")))))</f>
        <v/>
      </c>
    </row>
    <row r="540">
      <c r="A540" s="8" t="n"/>
      <c r="B540" s="13" t="n"/>
      <c r="C540" s="13" t="n"/>
      <c r="D540" s="11" t="n"/>
      <c r="E540" s="7">
        <f>IF(A540="","",IF(OR(A540&lt;TaxStart,A540&gt;TaxEnd),"Outside tax year",IF(A540&lt;DATE(YEAR(TaxStart),7,6),"Q1",IF(A540&lt;DATE(YEAR(TaxStart),10,6),"Q2",IF(A540&lt;DATE(YEAR(TaxStart)+1,1,6),"Q3","Q4")))))</f>
        <v/>
      </c>
    </row>
    <row r="541">
      <c r="A541" s="8" t="n"/>
      <c r="B541" s="13" t="n"/>
      <c r="C541" s="13" t="n"/>
      <c r="D541" s="11" t="n"/>
      <c r="E541" s="7">
        <f>IF(A541="","",IF(OR(A541&lt;TaxStart,A541&gt;TaxEnd),"Outside tax year",IF(A541&lt;DATE(YEAR(TaxStart),7,6),"Q1",IF(A541&lt;DATE(YEAR(TaxStart),10,6),"Q2",IF(A541&lt;DATE(YEAR(TaxStart)+1,1,6),"Q3","Q4")))))</f>
        <v/>
      </c>
    </row>
    <row r="542">
      <c r="A542" s="8" t="n"/>
      <c r="B542" s="13" t="n"/>
      <c r="C542" s="13" t="n"/>
      <c r="D542" s="11" t="n"/>
      <c r="E542" s="7">
        <f>IF(A542="","",IF(OR(A542&lt;TaxStart,A542&gt;TaxEnd),"Outside tax year",IF(A542&lt;DATE(YEAR(TaxStart),7,6),"Q1",IF(A542&lt;DATE(YEAR(TaxStart),10,6),"Q2",IF(A542&lt;DATE(YEAR(TaxStart)+1,1,6),"Q3","Q4")))))</f>
        <v/>
      </c>
    </row>
    <row r="543">
      <c r="A543" s="8" t="n"/>
      <c r="B543" s="13" t="n"/>
      <c r="C543" s="13" t="n"/>
      <c r="D543" s="11" t="n"/>
      <c r="E543" s="7">
        <f>IF(A543="","",IF(OR(A543&lt;TaxStart,A543&gt;TaxEnd),"Outside tax year",IF(A543&lt;DATE(YEAR(TaxStart),7,6),"Q1",IF(A543&lt;DATE(YEAR(TaxStart),10,6),"Q2",IF(A543&lt;DATE(YEAR(TaxStart)+1,1,6),"Q3","Q4")))))</f>
        <v/>
      </c>
    </row>
    <row r="544">
      <c r="A544" s="8" t="n"/>
      <c r="B544" s="13" t="n"/>
      <c r="C544" s="13" t="n"/>
      <c r="D544" s="11" t="n"/>
      <c r="E544" s="7">
        <f>IF(A544="","",IF(OR(A544&lt;TaxStart,A544&gt;TaxEnd),"Outside tax year",IF(A544&lt;DATE(YEAR(TaxStart),7,6),"Q1",IF(A544&lt;DATE(YEAR(TaxStart),10,6),"Q2",IF(A544&lt;DATE(YEAR(TaxStart)+1,1,6),"Q3","Q4")))))</f>
        <v/>
      </c>
    </row>
    <row r="545">
      <c r="A545" s="8" t="n"/>
      <c r="B545" s="13" t="n"/>
      <c r="C545" s="13" t="n"/>
      <c r="D545" s="11" t="n"/>
      <c r="E545" s="7">
        <f>IF(A545="","",IF(OR(A545&lt;TaxStart,A545&gt;TaxEnd),"Outside tax year",IF(A545&lt;DATE(YEAR(TaxStart),7,6),"Q1",IF(A545&lt;DATE(YEAR(TaxStart),10,6),"Q2",IF(A545&lt;DATE(YEAR(TaxStart)+1,1,6),"Q3","Q4")))))</f>
        <v/>
      </c>
    </row>
    <row r="546">
      <c r="A546" s="8" t="n"/>
      <c r="B546" s="13" t="n"/>
      <c r="C546" s="13" t="n"/>
      <c r="D546" s="11" t="n"/>
      <c r="E546" s="7">
        <f>IF(A546="","",IF(OR(A546&lt;TaxStart,A546&gt;TaxEnd),"Outside tax year",IF(A546&lt;DATE(YEAR(TaxStart),7,6),"Q1",IF(A546&lt;DATE(YEAR(TaxStart),10,6),"Q2",IF(A546&lt;DATE(YEAR(TaxStart)+1,1,6),"Q3","Q4")))))</f>
        <v/>
      </c>
    </row>
    <row r="547">
      <c r="A547" s="8" t="n"/>
      <c r="B547" s="13" t="n"/>
      <c r="C547" s="13" t="n"/>
      <c r="D547" s="11" t="n"/>
      <c r="E547" s="7">
        <f>IF(A547="","",IF(OR(A547&lt;TaxStart,A547&gt;TaxEnd),"Outside tax year",IF(A547&lt;DATE(YEAR(TaxStart),7,6),"Q1",IF(A547&lt;DATE(YEAR(TaxStart),10,6),"Q2",IF(A547&lt;DATE(YEAR(TaxStart)+1,1,6),"Q3","Q4")))))</f>
        <v/>
      </c>
    </row>
    <row r="548">
      <c r="A548" s="8" t="n"/>
      <c r="B548" s="13" t="n"/>
      <c r="C548" s="13" t="n"/>
      <c r="D548" s="11" t="n"/>
      <c r="E548" s="7">
        <f>IF(A548="","",IF(OR(A548&lt;TaxStart,A548&gt;TaxEnd),"Outside tax year",IF(A548&lt;DATE(YEAR(TaxStart),7,6),"Q1",IF(A548&lt;DATE(YEAR(TaxStart),10,6),"Q2",IF(A548&lt;DATE(YEAR(TaxStart)+1,1,6),"Q3","Q4")))))</f>
        <v/>
      </c>
    </row>
    <row r="549">
      <c r="A549" s="8" t="n"/>
      <c r="B549" s="13" t="n"/>
      <c r="C549" s="13" t="n"/>
      <c r="D549" s="11" t="n"/>
      <c r="E549" s="7">
        <f>IF(A549="","",IF(OR(A549&lt;TaxStart,A549&gt;TaxEnd),"Outside tax year",IF(A549&lt;DATE(YEAR(TaxStart),7,6),"Q1",IF(A549&lt;DATE(YEAR(TaxStart),10,6),"Q2",IF(A549&lt;DATE(YEAR(TaxStart)+1,1,6),"Q3","Q4")))))</f>
        <v/>
      </c>
    </row>
    <row r="550">
      <c r="A550" s="8" t="n"/>
      <c r="B550" s="13" t="n"/>
      <c r="C550" s="13" t="n"/>
      <c r="D550" s="11" t="n"/>
      <c r="E550" s="7">
        <f>IF(A550="","",IF(OR(A550&lt;TaxStart,A550&gt;TaxEnd),"Outside tax year",IF(A550&lt;DATE(YEAR(TaxStart),7,6),"Q1",IF(A550&lt;DATE(YEAR(TaxStart),10,6),"Q2",IF(A550&lt;DATE(YEAR(TaxStart)+1,1,6),"Q3","Q4")))))</f>
        <v/>
      </c>
    </row>
    <row r="551">
      <c r="A551" s="8" t="n"/>
      <c r="B551" s="13" t="n"/>
      <c r="C551" s="13" t="n"/>
      <c r="D551" s="11" t="n"/>
      <c r="E551" s="7">
        <f>IF(A551="","",IF(OR(A551&lt;TaxStart,A551&gt;TaxEnd),"Outside tax year",IF(A551&lt;DATE(YEAR(TaxStart),7,6),"Q1",IF(A551&lt;DATE(YEAR(TaxStart),10,6),"Q2",IF(A551&lt;DATE(YEAR(TaxStart)+1,1,6),"Q3","Q4")))))</f>
        <v/>
      </c>
    </row>
    <row r="552">
      <c r="A552" s="8" t="n"/>
      <c r="B552" s="13" t="n"/>
      <c r="C552" s="13" t="n"/>
      <c r="D552" s="11" t="n"/>
      <c r="E552" s="7">
        <f>IF(A552="","",IF(OR(A552&lt;TaxStart,A552&gt;TaxEnd),"Outside tax year",IF(A552&lt;DATE(YEAR(TaxStart),7,6),"Q1",IF(A552&lt;DATE(YEAR(TaxStart),10,6),"Q2",IF(A552&lt;DATE(YEAR(TaxStart)+1,1,6),"Q3","Q4")))))</f>
        <v/>
      </c>
    </row>
    <row r="553">
      <c r="A553" s="8" t="n"/>
      <c r="B553" s="13" t="n"/>
      <c r="C553" s="13" t="n"/>
      <c r="D553" s="11" t="n"/>
      <c r="E553" s="7">
        <f>IF(A553="","",IF(OR(A553&lt;TaxStart,A553&gt;TaxEnd),"Outside tax year",IF(A553&lt;DATE(YEAR(TaxStart),7,6),"Q1",IF(A553&lt;DATE(YEAR(TaxStart),10,6),"Q2",IF(A553&lt;DATE(YEAR(TaxStart)+1,1,6),"Q3","Q4")))))</f>
        <v/>
      </c>
    </row>
    <row r="554">
      <c r="A554" s="8" t="n"/>
      <c r="B554" s="13" t="n"/>
      <c r="C554" s="13" t="n"/>
      <c r="D554" s="11" t="n"/>
      <c r="E554" s="7">
        <f>IF(A554="","",IF(OR(A554&lt;TaxStart,A554&gt;TaxEnd),"Outside tax year",IF(A554&lt;DATE(YEAR(TaxStart),7,6),"Q1",IF(A554&lt;DATE(YEAR(TaxStart),10,6),"Q2",IF(A554&lt;DATE(YEAR(TaxStart)+1,1,6),"Q3","Q4")))))</f>
        <v/>
      </c>
    </row>
    <row r="555">
      <c r="A555" s="8" t="n"/>
      <c r="B555" s="13" t="n"/>
      <c r="C555" s="13" t="n"/>
      <c r="D555" s="11" t="n"/>
      <c r="E555" s="7">
        <f>IF(A555="","",IF(OR(A555&lt;TaxStart,A555&gt;TaxEnd),"Outside tax year",IF(A555&lt;DATE(YEAR(TaxStart),7,6),"Q1",IF(A555&lt;DATE(YEAR(TaxStart),10,6),"Q2",IF(A555&lt;DATE(YEAR(TaxStart)+1,1,6),"Q3","Q4")))))</f>
        <v/>
      </c>
    </row>
    <row r="556">
      <c r="A556" s="8" t="n"/>
      <c r="B556" s="13" t="n"/>
      <c r="C556" s="13" t="n"/>
      <c r="D556" s="11" t="n"/>
      <c r="E556" s="7">
        <f>IF(A556="","",IF(OR(A556&lt;TaxStart,A556&gt;TaxEnd),"Outside tax year",IF(A556&lt;DATE(YEAR(TaxStart),7,6),"Q1",IF(A556&lt;DATE(YEAR(TaxStart),10,6),"Q2",IF(A556&lt;DATE(YEAR(TaxStart)+1,1,6),"Q3","Q4")))))</f>
        <v/>
      </c>
    </row>
    <row r="557">
      <c r="A557" s="8" t="n"/>
      <c r="B557" s="13" t="n"/>
      <c r="C557" s="13" t="n"/>
      <c r="D557" s="11" t="n"/>
      <c r="E557" s="7">
        <f>IF(A557="","",IF(OR(A557&lt;TaxStart,A557&gt;TaxEnd),"Outside tax year",IF(A557&lt;DATE(YEAR(TaxStart),7,6),"Q1",IF(A557&lt;DATE(YEAR(TaxStart),10,6),"Q2",IF(A557&lt;DATE(YEAR(TaxStart)+1,1,6),"Q3","Q4")))))</f>
        <v/>
      </c>
    </row>
    <row r="558">
      <c r="A558" s="8" t="n"/>
      <c r="B558" s="13" t="n"/>
      <c r="C558" s="13" t="n"/>
      <c r="D558" s="11" t="n"/>
      <c r="E558" s="7">
        <f>IF(A558="","",IF(OR(A558&lt;TaxStart,A558&gt;TaxEnd),"Outside tax year",IF(A558&lt;DATE(YEAR(TaxStart),7,6),"Q1",IF(A558&lt;DATE(YEAR(TaxStart),10,6),"Q2",IF(A558&lt;DATE(YEAR(TaxStart)+1,1,6),"Q3","Q4")))))</f>
        <v/>
      </c>
    </row>
    <row r="559">
      <c r="A559" s="8" t="n"/>
      <c r="B559" s="13" t="n"/>
      <c r="C559" s="13" t="n"/>
      <c r="D559" s="11" t="n"/>
      <c r="E559" s="7">
        <f>IF(A559="","",IF(OR(A559&lt;TaxStart,A559&gt;TaxEnd),"Outside tax year",IF(A559&lt;DATE(YEAR(TaxStart),7,6),"Q1",IF(A559&lt;DATE(YEAR(TaxStart),10,6),"Q2",IF(A559&lt;DATE(YEAR(TaxStart)+1,1,6),"Q3","Q4")))))</f>
        <v/>
      </c>
    </row>
    <row r="560">
      <c r="A560" s="8" t="n"/>
      <c r="B560" s="13" t="n"/>
      <c r="C560" s="13" t="n"/>
      <c r="D560" s="11" t="n"/>
      <c r="E560" s="7">
        <f>IF(A560="","",IF(OR(A560&lt;TaxStart,A560&gt;TaxEnd),"Outside tax year",IF(A560&lt;DATE(YEAR(TaxStart),7,6),"Q1",IF(A560&lt;DATE(YEAR(TaxStart),10,6),"Q2",IF(A560&lt;DATE(YEAR(TaxStart)+1,1,6),"Q3","Q4")))))</f>
        <v/>
      </c>
    </row>
    <row r="561">
      <c r="A561" s="8" t="n"/>
      <c r="B561" s="13" t="n"/>
      <c r="C561" s="13" t="n"/>
      <c r="D561" s="11" t="n"/>
      <c r="E561" s="7">
        <f>IF(A561="","",IF(OR(A561&lt;TaxStart,A561&gt;TaxEnd),"Outside tax year",IF(A561&lt;DATE(YEAR(TaxStart),7,6),"Q1",IF(A561&lt;DATE(YEAR(TaxStart),10,6),"Q2",IF(A561&lt;DATE(YEAR(TaxStart)+1,1,6),"Q3","Q4")))))</f>
        <v/>
      </c>
    </row>
    <row r="562">
      <c r="A562" s="8" t="n"/>
      <c r="B562" s="13" t="n"/>
      <c r="C562" s="13" t="n"/>
      <c r="D562" s="11" t="n"/>
      <c r="E562" s="7">
        <f>IF(A562="","",IF(OR(A562&lt;TaxStart,A562&gt;TaxEnd),"Outside tax year",IF(A562&lt;DATE(YEAR(TaxStart),7,6),"Q1",IF(A562&lt;DATE(YEAR(TaxStart),10,6),"Q2",IF(A562&lt;DATE(YEAR(TaxStart)+1,1,6),"Q3","Q4")))))</f>
        <v/>
      </c>
    </row>
    <row r="563">
      <c r="A563" s="8" t="n"/>
      <c r="B563" s="13" t="n"/>
      <c r="C563" s="13" t="n"/>
      <c r="D563" s="11" t="n"/>
      <c r="E563" s="7">
        <f>IF(A563="","",IF(OR(A563&lt;TaxStart,A563&gt;TaxEnd),"Outside tax year",IF(A563&lt;DATE(YEAR(TaxStart),7,6),"Q1",IF(A563&lt;DATE(YEAR(TaxStart),10,6),"Q2",IF(A563&lt;DATE(YEAR(TaxStart)+1,1,6),"Q3","Q4")))))</f>
        <v/>
      </c>
    </row>
    <row r="564">
      <c r="A564" s="8" t="n"/>
      <c r="B564" s="13" t="n"/>
      <c r="C564" s="13" t="n"/>
      <c r="D564" s="11" t="n"/>
      <c r="E564" s="7">
        <f>IF(A564="","",IF(OR(A564&lt;TaxStart,A564&gt;TaxEnd),"Outside tax year",IF(A564&lt;DATE(YEAR(TaxStart),7,6),"Q1",IF(A564&lt;DATE(YEAR(TaxStart),10,6),"Q2",IF(A564&lt;DATE(YEAR(TaxStart)+1,1,6),"Q3","Q4")))))</f>
        <v/>
      </c>
    </row>
    <row r="565">
      <c r="A565" s="8" t="n"/>
      <c r="B565" s="13" t="n"/>
      <c r="C565" s="13" t="n"/>
      <c r="D565" s="11" t="n"/>
      <c r="E565" s="7">
        <f>IF(A565="","",IF(OR(A565&lt;TaxStart,A565&gt;TaxEnd),"Outside tax year",IF(A565&lt;DATE(YEAR(TaxStart),7,6),"Q1",IF(A565&lt;DATE(YEAR(TaxStart),10,6),"Q2",IF(A565&lt;DATE(YEAR(TaxStart)+1,1,6),"Q3","Q4")))))</f>
        <v/>
      </c>
    </row>
    <row r="566">
      <c r="A566" s="8" t="n"/>
      <c r="B566" s="13" t="n"/>
      <c r="C566" s="13" t="n"/>
      <c r="D566" s="11" t="n"/>
      <c r="E566" s="7">
        <f>IF(A566="","",IF(OR(A566&lt;TaxStart,A566&gt;TaxEnd),"Outside tax year",IF(A566&lt;DATE(YEAR(TaxStart),7,6),"Q1",IF(A566&lt;DATE(YEAR(TaxStart),10,6),"Q2",IF(A566&lt;DATE(YEAR(TaxStart)+1,1,6),"Q3","Q4")))))</f>
        <v/>
      </c>
    </row>
    <row r="567">
      <c r="A567" s="8" t="n"/>
      <c r="B567" s="13" t="n"/>
      <c r="C567" s="13" t="n"/>
      <c r="D567" s="11" t="n"/>
      <c r="E567" s="7">
        <f>IF(A567="","",IF(OR(A567&lt;TaxStart,A567&gt;TaxEnd),"Outside tax year",IF(A567&lt;DATE(YEAR(TaxStart),7,6),"Q1",IF(A567&lt;DATE(YEAR(TaxStart),10,6),"Q2",IF(A567&lt;DATE(YEAR(TaxStart)+1,1,6),"Q3","Q4")))))</f>
        <v/>
      </c>
    </row>
    <row r="568">
      <c r="A568" s="8" t="n"/>
      <c r="B568" s="13" t="n"/>
      <c r="C568" s="13" t="n"/>
      <c r="D568" s="11" t="n"/>
      <c r="E568" s="7">
        <f>IF(A568="","",IF(OR(A568&lt;TaxStart,A568&gt;TaxEnd),"Outside tax year",IF(A568&lt;DATE(YEAR(TaxStart),7,6),"Q1",IF(A568&lt;DATE(YEAR(TaxStart),10,6),"Q2",IF(A568&lt;DATE(YEAR(TaxStart)+1,1,6),"Q3","Q4")))))</f>
        <v/>
      </c>
    </row>
    <row r="569">
      <c r="A569" s="8" t="n"/>
      <c r="B569" s="13" t="n"/>
      <c r="C569" s="13" t="n"/>
      <c r="D569" s="11" t="n"/>
      <c r="E569" s="7">
        <f>IF(A569="","",IF(OR(A569&lt;TaxStart,A569&gt;TaxEnd),"Outside tax year",IF(A569&lt;DATE(YEAR(TaxStart),7,6),"Q1",IF(A569&lt;DATE(YEAR(TaxStart),10,6),"Q2",IF(A569&lt;DATE(YEAR(TaxStart)+1,1,6),"Q3","Q4")))))</f>
        <v/>
      </c>
    </row>
    <row r="570">
      <c r="A570" s="8" t="n"/>
      <c r="B570" s="13" t="n"/>
      <c r="C570" s="13" t="n"/>
      <c r="D570" s="11" t="n"/>
      <c r="E570" s="7">
        <f>IF(A570="","",IF(OR(A570&lt;TaxStart,A570&gt;TaxEnd),"Outside tax year",IF(A570&lt;DATE(YEAR(TaxStart),7,6),"Q1",IF(A570&lt;DATE(YEAR(TaxStart),10,6),"Q2",IF(A570&lt;DATE(YEAR(TaxStart)+1,1,6),"Q3","Q4")))))</f>
        <v/>
      </c>
    </row>
    <row r="571">
      <c r="A571" s="8" t="n"/>
      <c r="B571" s="13" t="n"/>
      <c r="C571" s="13" t="n"/>
      <c r="D571" s="11" t="n"/>
      <c r="E571" s="7">
        <f>IF(A571="","",IF(OR(A571&lt;TaxStart,A571&gt;TaxEnd),"Outside tax year",IF(A571&lt;DATE(YEAR(TaxStart),7,6),"Q1",IF(A571&lt;DATE(YEAR(TaxStart),10,6),"Q2",IF(A571&lt;DATE(YEAR(TaxStart)+1,1,6),"Q3","Q4")))))</f>
        <v/>
      </c>
    </row>
    <row r="572">
      <c r="A572" s="8" t="n"/>
      <c r="B572" s="13" t="n"/>
      <c r="C572" s="13" t="n"/>
      <c r="D572" s="11" t="n"/>
      <c r="E572" s="7">
        <f>IF(A572="","",IF(OR(A572&lt;TaxStart,A572&gt;TaxEnd),"Outside tax year",IF(A572&lt;DATE(YEAR(TaxStart),7,6),"Q1",IF(A572&lt;DATE(YEAR(TaxStart),10,6),"Q2",IF(A572&lt;DATE(YEAR(TaxStart)+1,1,6),"Q3","Q4")))))</f>
        <v/>
      </c>
    </row>
    <row r="573">
      <c r="A573" s="8" t="n"/>
      <c r="B573" s="13" t="n"/>
      <c r="C573" s="13" t="n"/>
      <c r="D573" s="11" t="n"/>
      <c r="E573" s="7">
        <f>IF(A573="","",IF(OR(A573&lt;TaxStart,A573&gt;TaxEnd),"Outside tax year",IF(A573&lt;DATE(YEAR(TaxStart),7,6),"Q1",IF(A573&lt;DATE(YEAR(TaxStart),10,6),"Q2",IF(A573&lt;DATE(YEAR(TaxStart)+1,1,6),"Q3","Q4")))))</f>
        <v/>
      </c>
    </row>
    <row r="574">
      <c r="A574" s="8" t="n"/>
      <c r="B574" s="13" t="n"/>
      <c r="C574" s="13" t="n"/>
      <c r="D574" s="11" t="n"/>
      <c r="E574" s="7">
        <f>IF(A574="","",IF(OR(A574&lt;TaxStart,A574&gt;TaxEnd),"Outside tax year",IF(A574&lt;DATE(YEAR(TaxStart),7,6),"Q1",IF(A574&lt;DATE(YEAR(TaxStart),10,6),"Q2",IF(A574&lt;DATE(YEAR(TaxStart)+1,1,6),"Q3","Q4")))))</f>
        <v/>
      </c>
    </row>
    <row r="575">
      <c r="A575" s="8" t="n"/>
      <c r="B575" s="13" t="n"/>
      <c r="C575" s="13" t="n"/>
      <c r="D575" s="11" t="n"/>
      <c r="E575" s="7">
        <f>IF(A575="","",IF(OR(A575&lt;TaxStart,A575&gt;TaxEnd),"Outside tax year",IF(A575&lt;DATE(YEAR(TaxStart),7,6),"Q1",IF(A575&lt;DATE(YEAR(TaxStart),10,6),"Q2",IF(A575&lt;DATE(YEAR(TaxStart)+1,1,6),"Q3","Q4")))))</f>
        <v/>
      </c>
    </row>
    <row r="576">
      <c r="A576" s="8" t="n"/>
      <c r="B576" s="13" t="n"/>
      <c r="C576" s="13" t="n"/>
      <c r="D576" s="11" t="n"/>
      <c r="E576" s="7">
        <f>IF(A576="","",IF(OR(A576&lt;TaxStart,A576&gt;TaxEnd),"Outside tax year",IF(A576&lt;DATE(YEAR(TaxStart),7,6),"Q1",IF(A576&lt;DATE(YEAR(TaxStart),10,6),"Q2",IF(A576&lt;DATE(YEAR(TaxStart)+1,1,6),"Q3","Q4")))))</f>
        <v/>
      </c>
    </row>
    <row r="577">
      <c r="A577" s="8" t="n"/>
      <c r="B577" s="13" t="n"/>
      <c r="C577" s="13" t="n"/>
      <c r="D577" s="11" t="n"/>
      <c r="E577" s="7">
        <f>IF(A577="","",IF(OR(A577&lt;TaxStart,A577&gt;TaxEnd),"Outside tax year",IF(A577&lt;DATE(YEAR(TaxStart),7,6),"Q1",IF(A577&lt;DATE(YEAR(TaxStart),10,6),"Q2",IF(A577&lt;DATE(YEAR(TaxStart)+1,1,6),"Q3","Q4")))))</f>
        <v/>
      </c>
    </row>
    <row r="578">
      <c r="A578" s="8" t="n"/>
      <c r="B578" s="13" t="n"/>
      <c r="C578" s="13" t="n"/>
      <c r="D578" s="11" t="n"/>
      <c r="E578" s="7">
        <f>IF(A578="","",IF(OR(A578&lt;TaxStart,A578&gt;TaxEnd),"Outside tax year",IF(A578&lt;DATE(YEAR(TaxStart),7,6),"Q1",IF(A578&lt;DATE(YEAR(TaxStart),10,6),"Q2",IF(A578&lt;DATE(YEAR(TaxStart)+1,1,6),"Q3","Q4")))))</f>
        <v/>
      </c>
    </row>
    <row r="579">
      <c r="A579" s="8" t="n"/>
      <c r="B579" s="13" t="n"/>
      <c r="C579" s="13" t="n"/>
      <c r="D579" s="11" t="n"/>
      <c r="E579" s="7">
        <f>IF(A579="","",IF(OR(A579&lt;TaxStart,A579&gt;TaxEnd),"Outside tax year",IF(A579&lt;DATE(YEAR(TaxStart),7,6),"Q1",IF(A579&lt;DATE(YEAR(TaxStart),10,6),"Q2",IF(A579&lt;DATE(YEAR(TaxStart)+1,1,6),"Q3","Q4")))))</f>
        <v/>
      </c>
    </row>
    <row r="580">
      <c r="A580" s="8" t="n"/>
      <c r="B580" s="13" t="n"/>
      <c r="C580" s="13" t="n"/>
      <c r="D580" s="11" t="n"/>
      <c r="E580" s="7">
        <f>IF(A580="","",IF(OR(A580&lt;TaxStart,A580&gt;TaxEnd),"Outside tax year",IF(A580&lt;DATE(YEAR(TaxStart),7,6),"Q1",IF(A580&lt;DATE(YEAR(TaxStart),10,6),"Q2",IF(A580&lt;DATE(YEAR(TaxStart)+1,1,6),"Q3","Q4")))))</f>
        <v/>
      </c>
    </row>
    <row r="581">
      <c r="A581" s="8" t="n"/>
      <c r="B581" s="13" t="n"/>
      <c r="C581" s="13" t="n"/>
      <c r="D581" s="11" t="n"/>
      <c r="E581" s="7">
        <f>IF(A581="","",IF(OR(A581&lt;TaxStart,A581&gt;TaxEnd),"Outside tax year",IF(A581&lt;DATE(YEAR(TaxStart),7,6),"Q1",IF(A581&lt;DATE(YEAR(TaxStart),10,6),"Q2",IF(A581&lt;DATE(YEAR(TaxStart)+1,1,6),"Q3","Q4")))))</f>
        <v/>
      </c>
    </row>
    <row r="582">
      <c r="A582" s="8" t="n"/>
      <c r="B582" s="13" t="n"/>
      <c r="C582" s="13" t="n"/>
      <c r="D582" s="11" t="n"/>
      <c r="E582" s="7">
        <f>IF(A582="","",IF(OR(A582&lt;TaxStart,A582&gt;TaxEnd),"Outside tax year",IF(A582&lt;DATE(YEAR(TaxStart),7,6),"Q1",IF(A582&lt;DATE(YEAR(TaxStart),10,6),"Q2",IF(A582&lt;DATE(YEAR(TaxStart)+1,1,6),"Q3","Q4")))))</f>
        <v/>
      </c>
    </row>
    <row r="583">
      <c r="A583" s="8" t="n"/>
      <c r="B583" s="13" t="n"/>
      <c r="C583" s="13" t="n"/>
      <c r="D583" s="11" t="n"/>
      <c r="E583" s="7">
        <f>IF(A583="","",IF(OR(A583&lt;TaxStart,A583&gt;TaxEnd),"Outside tax year",IF(A583&lt;DATE(YEAR(TaxStart),7,6),"Q1",IF(A583&lt;DATE(YEAR(TaxStart),10,6),"Q2",IF(A583&lt;DATE(YEAR(TaxStart)+1,1,6),"Q3","Q4")))))</f>
        <v/>
      </c>
    </row>
    <row r="584">
      <c r="A584" s="8" t="n"/>
      <c r="B584" s="13" t="n"/>
      <c r="C584" s="13" t="n"/>
      <c r="D584" s="11" t="n"/>
      <c r="E584" s="7">
        <f>IF(A584="","",IF(OR(A584&lt;TaxStart,A584&gt;TaxEnd),"Outside tax year",IF(A584&lt;DATE(YEAR(TaxStart),7,6),"Q1",IF(A584&lt;DATE(YEAR(TaxStart),10,6),"Q2",IF(A584&lt;DATE(YEAR(TaxStart)+1,1,6),"Q3","Q4")))))</f>
        <v/>
      </c>
    </row>
    <row r="585">
      <c r="A585" s="8" t="n"/>
      <c r="B585" s="13" t="n"/>
      <c r="C585" s="13" t="n"/>
      <c r="D585" s="11" t="n"/>
      <c r="E585" s="7">
        <f>IF(A585="","",IF(OR(A585&lt;TaxStart,A585&gt;TaxEnd),"Outside tax year",IF(A585&lt;DATE(YEAR(TaxStart),7,6),"Q1",IF(A585&lt;DATE(YEAR(TaxStart),10,6),"Q2",IF(A585&lt;DATE(YEAR(TaxStart)+1,1,6),"Q3","Q4")))))</f>
        <v/>
      </c>
    </row>
    <row r="586">
      <c r="A586" s="8" t="n"/>
      <c r="B586" s="13" t="n"/>
      <c r="C586" s="13" t="n"/>
      <c r="D586" s="11" t="n"/>
      <c r="E586" s="7">
        <f>IF(A586="","",IF(OR(A586&lt;TaxStart,A586&gt;TaxEnd),"Outside tax year",IF(A586&lt;DATE(YEAR(TaxStart),7,6),"Q1",IF(A586&lt;DATE(YEAR(TaxStart),10,6),"Q2",IF(A586&lt;DATE(YEAR(TaxStart)+1,1,6),"Q3","Q4")))))</f>
        <v/>
      </c>
    </row>
    <row r="587">
      <c r="A587" s="8" t="n"/>
      <c r="B587" s="13" t="n"/>
      <c r="C587" s="13" t="n"/>
      <c r="D587" s="11" t="n"/>
      <c r="E587" s="7">
        <f>IF(A587="","",IF(OR(A587&lt;TaxStart,A587&gt;TaxEnd),"Outside tax year",IF(A587&lt;DATE(YEAR(TaxStart),7,6),"Q1",IF(A587&lt;DATE(YEAR(TaxStart),10,6),"Q2",IF(A587&lt;DATE(YEAR(TaxStart)+1,1,6),"Q3","Q4")))))</f>
        <v/>
      </c>
    </row>
    <row r="588">
      <c r="A588" s="8" t="n"/>
      <c r="B588" s="13" t="n"/>
      <c r="C588" s="13" t="n"/>
      <c r="D588" s="11" t="n"/>
      <c r="E588" s="7">
        <f>IF(A588="","",IF(OR(A588&lt;TaxStart,A588&gt;TaxEnd),"Outside tax year",IF(A588&lt;DATE(YEAR(TaxStart),7,6),"Q1",IF(A588&lt;DATE(YEAR(TaxStart),10,6),"Q2",IF(A588&lt;DATE(YEAR(TaxStart)+1,1,6),"Q3","Q4")))))</f>
        <v/>
      </c>
    </row>
    <row r="589">
      <c r="A589" s="8" t="n"/>
      <c r="B589" s="13" t="n"/>
      <c r="C589" s="13" t="n"/>
      <c r="D589" s="11" t="n"/>
      <c r="E589" s="7">
        <f>IF(A589="","",IF(OR(A589&lt;TaxStart,A589&gt;TaxEnd),"Outside tax year",IF(A589&lt;DATE(YEAR(TaxStart),7,6),"Q1",IF(A589&lt;DATE(YEAR(TaxStart),10,6),"Q2",IF(A589&lt;DATE(YEAR(TaxStart)+1,1,6),"Q3","Q4")))))</f>
        <v/>
      </c>
    </row>
    <row r="590">
      <c r="A590" s="8" t="n"/>
      <c r="B590" s="13" t="n"/>
      <c r="C590" s="13" t="n"/>
      <c r="D590" s="11" t="n"/>
      <c r="E590" s="7">
        <f>IF(A590="","",IF(OR(A590&lt;TaxStart,A590&gt;TaxEnd),"Outside tax year",IF(A590&lt;DATE(YEAR(TaxStart),7,6),"Q1",IF(A590&lt;DATE(YEAR(TaxStart),10,6),"Q2",IF(A590&lt;DATE(YEAR(TaxStart)+1,1,6),"Q3","Q4")))))</f>
        <v/>
      </c>
    </row>
    <row r="591">
      <c r="A591" s="8" t="n"/>
      <c r="B591" s="13" t="n"/>
      <c r="C591" s="13" t="n"/>
      <c r="D591" s="11" t="n"/>
      <c r="E591" s="7">
        <f>IF(A591="","",IF(OR(A591&lt;TaxStart,A591&gt;TaxEnd),"Outside tax year",IF(A591&lt;DATE(YEAR(TaxStart),7,6),"Q1",IF(A591&lt;DATE(YEAR(TaxStart),10,6),"Q2",IF(A591&lt;DATE(YEAR(TaxStart)+1,1,6),"Q3","Q4")))))</f>
        <v/>
      </c>
    </row>
    <row r="592">
      <c r="A592" s="8" t="n"/>
      <c r="B592" s="13" t="n"/>
      <c r="C592" s="13" t="n"/>
      <c r="D592" s="11" t="n"/>
      <c r="E592" s="7">
        <f>IF(A592="","",IF(OR(A592&lt;TaxStart,A592&gt;TaxEnd),"Outside tax year",IF(A592&lt;DATE(YEAR(TaxStart),7,6),"Q1",IF(A592&lt;DATE(YEAR(TaxStart),10,6),"Q2",IF(A592&lt;DATE(YEAR(TaxStart)+1,1,6),"Q3","Q4")))))</f>
        <v/>
      </c>
    </row>
    <row r="593">
      <c r="A593" s="8" t="n"/>
      <c r="B593" s="13" t="n"/>
      <c r="C593" s="13" t="n"/>
      <c r="D593" s="11" t="n"/>
      <c r="E593" s="7">
        <f>IF(A593="","",IF(OR(A593&lt;TaxStart,A593&gt;TaxEnd),"Outside tax year",IF(A593&lt;DATE(YEAR(TaxStart),7,6),"Q1",IF(A593&lt;DATE(YEAR(TaxStart),10,6),"Q2",IF(A593&lt;DATE(YEAR(TaxStart)+1,1,6),"Q3","Q4")))))</f>
        <v/>
      </c>
    </row>
    <row r="594">
      <c r="A594" s="8" t="n"/>
      <c r="B594" s="13" t="n"/>
      <c r="C594" s="13" t="n"/>
      <c r="D594" s="11" t="n"/>
      <c r="E594" s="7">
        <f>IF(A594="","",IF(OR(A594&lt;TaxStart,A594&gt;TaxEnd),"Outside tax year",IF(A594&lt;DATE(YEAR(TaxStart),7,6),"Q1",IF(A594&lt;DATE(YEAR(TaxStart),10,6),"Q2",IF(A594&lt;DATE(YEAR(TaxStart)+1,1,6),"Q3","Q4")))))</f>
        <v/>
      </c>
    </row>
    <row r="595">
      <c r="A595" s="8" t="n"/>
      <c r="B595" s="13" t="n"/>
      <c r="C595" s="13" t="n"/>
      <c r="D595" s="11" t="n"/>
      <c r="E595" s="7">
        <f>IF(A595="","",IF(OR(A595&lt;TaxStart,A595&gt;TaxEnd),"Outside tax year",IF(A595&lt;DATE(YEAR(TaxStart),7,6),"Q1",IF(A595&lt;DATE(YEAR(TaxStart),10,6),"Q2",IF(A595&lt;DATE(YEAR(TaxStart)+1,1,6),"Q3","Q4")))))</f>
        <v/>
      </c>
    </row>
    <row r="596">
      <c r="A596" s="8" t="n"/>
      <c r="B596" s="13" t="n"/>
      <c r="C596" s="13" t="n"/>
      <c r="D596" s="11" t="n"/>
      <c r="E596" s="7">
        <f>IF(A596="","",IF(OR(A596&lt;TaxStart,A596&gt;TaxEnd),"Outside tax year",IF(A596&lt;DATE(YEAR(TaxStart),7,6),"Q1",IF(A596&lt;DATE(YEAR(TaxStart),10,6),"Q2",IF(A596&lt;DATE(YEAR(TaxStart)+1,1,6),"Q3","Q4")))))</f>
        <v/>
      </c>
    </row>
    <row r="597">
      <c r="A597" s="8" t="n"/>
      <c r="B597" s="13" t="n"/>
      <c r="C597" s="13" t="n"/>
      <c r="D597" s="11" t="n"/>
      <c r="E597" s="7">
        <f>IF(A597="","",IF(OR(A597&lt;TaxStart,A597&gt;TaxEnd),"Outside tax year",IF(A597&lt;DATE(YEAR(TaxStart),7,6),"Q1",IF(A597&lt;DATE(YEAR(TaxStart),10,6),"Q2",IF(A597&lt;DATE(YEAR(TaxStart)+1,1,6),"Q3","Q4")))))</f>
        <v/>
      </c>
    </row>
    <row r="598">
      <c r="A598" s="8" t="n"/>
      <c r="B598" s="13" t="n"/>
      <c r="C598" s="13" t="n"/>
      <c r="D598" s="11" t="n"/>
      <c r="E598" s="7">
        <f>IF(A598="","",IF(OR(A598&lt;TaxStart,A598&gt;TaxEnd),"Outside tax year",IF(A598&lt;DATE(YEAR(TaxStart),7,6),"Q1",IF(A598&lt;DATE(YEAR(TaxStart),10,6),"Q2",IF(A598&lt;DATE(YEAR(TaxStart)+1,1,6),"Q3","Q4")))))</f>
        <v/>
      </c>
    </row>
    <row r="599">
      <c r="A599" s="8" t="n"/>
      <c r="B599" s="13" t="n"/>
      <c r="C599" s="13" t="n"/>
      <c r="D599" s="11" t="n"/>
      <c r="E599" s="7">
        <f>IF(A599="","",IF(OR(A599&lt;TaxStart,A599&gt;TaxEnd),"Outside tax year",IF(A599&lt;DATE(YEAR(TaxStart),7,6),"Q1",IF(A599&lt;DATE(YEAR(TaxStart),10,6),"Q2",IF(A599&lt;DATE(YEAR(TaxStart)+1,1,6),"Q3","Q4")))))</f>
        <v/>
      </c>
    </row>
    <row r="600">
      <c r="A600" s="8" t="n"/>
      <c r="B600" s="13" t="n"/>
      <c r="C600" s="13" t="n"/>
      <c r="D600" s="11" t="n"/>
      <c r="E600" s="7">
        <f>IF(A600="","",IF(OR(A600&lt;TaxStart,A600&gt;TaxEnd),"Outside tax year",IF(A600&lt;DATE(YEAR(TaxStart),7,6),"Q1",IF(A600&lt;DATE(YEAR(TaxStart),10,6),"Q2",IF(A600&lt;DATE(YEAR(TaxStart)+1,1,6),"Q3","Q4")))))</f>
        <v/>
      </c>
    </row>
    <row r="601">
      <c r="A601" s="8" t="n"/>
      <c r="B601" s="13" t="n"/>
      <c r="C601" s="13" t="n"/>
      <c r="D601" s="11" t="n"/>
      <c r="E601" s="7">
        <f>IF(A601="","",IF(OR(A601&lt;TaxStart,A601&gt;TaxEnd),"Outside tax year",IF(A601&lt;DATE(YEAR(TaxStart),7,6),"Q1",IF(A601&lt;DATE(YEAR(TaxStart),10,6),"Q2",IF(A601&lt;DATE(YEAR(TaxStart)+1,1,6),"Q3","Q4")))))</f>
        <v/>
      </c>
    </row>
    <row r="602">
      <c r="A602" s="8" t="n"/>
      <c r="B602" s="13" t="n"/>
      <c r="C602" s="13" t="n"/>
      <c r="D602" s="11" t="n"/>
      <c r="E602" s="7">
        <f>IF(A602="","",IF(OR(A602&lt;TaxStart,A602&gt;TaxEnd),"Outside tax year",IF(A602&lt;DATE(YEAR(TaxStart),7,6),"Q1",IF(A602&lt;DATE(YEAR(TaxStart),10,6),"Q2",IF(A602&lt;DATE(YEAR(TaxStart)+1,1,6),"Q3","Q4")))))</f>
        <v/>
      </c>
    </row>
    <row r="603">
      <c r="A603" s="8" t="n"/>
      <c r="B603" s="13" t="n"/>
      <c r="C603" s="13" t="n"/>
      <c r="D603" s="11" t="n"/>
      <c r="E603" s="7">
        <f>IF(A603="","",IF(OR(A603&lt;TaxStart,A603&gt;TaxEnd),"Outside tax year",IF(A603&lt;DATE(YEAR(TaxStart),7,6),"Q1",IF(A603&lt;DATE(YEAR(TaxStart),10,6),"Q2",IF(A603&lt;DATE(YEAR(TaxStart)+1,1,6),"Q3","Q4")))))</f>
        <v/>
      </c>
    </row>
    <row r="604">
      <c r="A604" s="8" t="n"/>
      <c r="B604" s="13" t="n"/>
      <c r="C604" s="13" t="n"/>
      <c r="D604" s="11" t="n"/>
      <c r="E604" s="7">
        <f>IF(A604="","",IF(OR(A604&lt;TaxStart,A604&gt;TaxEnd),"Outside tax year",IF(A604&lt;DATE(YEAR(TaxStart),7,6),"Q1",IF(A604&lt;DATE(YEAR(TaxStart),10,6),"Q2",IF(A604&lt;DATE(YEAR(TaxStart)+1,1,6),"Q3","Q4")))))</f>
        <v/>
      </c>
    </row>
    <row r="605">
      <c r="A605" s="8" t="n"/>
      <c r="B605" s="13" t="n"/>
      <c r="C605" s="13" t="n"/>
      <c r="D605" s="11" t="n"/>
      <c r="E605" s="7">
        <f>IF(A605="","",IF(OR(A605&lt;TaxStart,A605&gt;TaxEnd),"Outside tax year",IF(A605&lt;DATE(YEAR(TaxStart),7,6),"Q1",IF(A605&lt;DATE(YEAR(TaxStart),10,6),"Q2",IF(A605&lt;DATE(YEAR(TaxStart)+1,1,6),"Q3","Q4")))))</f>
        <v/>
      </c>
    </row>
    <row r="606">
      <c r="A606" s="8" t="n"/>
      <c r="B606" s="13" t="n"/>
      <c r="C606" s="13" t="n"/>
      <c r="D606" s="11" t="n"/>
      <c r="E606" s="7">
        <f>IF(A606="","",IF(OR(A606&lt;TaxStart,A606&gt;TaxEnd),"Outside tax year",IF(A606&lt;DATE(YEAR(TaxStart),7,6),"Q1",IF(A606&lt;DATE(YEAR(TaxStart),10,6),"Q2",IF(A606&lt;DATE(YEAR(TaxStart)+1,1,6),"Q3","Q4")))))</f>
        <v/>
      </c>
    </row>
    <row r="607">
      <c r="A607" s="8" t="n"/>
      <c r="B607" s="13" t="n"/>
      <c r="C607" s="13" t="n"/>
      <c r="D607" s="11" t="n"/>
      <c r="E607" s="7">
        <f>IF(A607="","",IF(OR(A607&lt;TaxStart,A607&gt;TaxEnd),"Outside tax year",IF(A607&lt;DATE(YEAR(TaxStart),7,6),"Q1",IF(A607&lt;DATE(YEAR(TaxStart),10,6),"Q2",IF(A607&lt;DATE(YEAR(TaxStart)+1,1,6),"Q3","Q4")))))</f>
        <v/>
      </c>
    </row>
    <row r="608">
      <c r="A608" s="8" t="n"/>
      <c r="B608" s="13" t="n"/>
      <c r="C608" s="13" t="n"/>
      <c r="D608" s="11" t="n"/>
      <c r="E608" s="7">
        <f>IF(A608="","",IF(OR(A608&lt;TaxStart,A608&gt;TaxEnd),"Outside tax year",IF(A608&lt;DATE(YEAR(TaxStart),7,6),"Q1",IF(A608&lt;DATE(YEAR(TaxStart),10,6),"Q2",IF(A608&lt;DATE(YEAR(TaxStart)+1,1,6),"Q3","Q4")))))</f>
        <v/>
      </c>
    </row>
    <row r="609">
      <c r="A609" s="8" t="n"/>
      <c r="B609" s="13" t="n"/>
      <c r="C609" s="13" t="n"/>
      <c r="D609" s="11" t="n"/>
      <c r="E609" s="7">
        <f>IF(A609="","",IF(OR(A609&lt;TaxStart,A609&gt;TaxEnd),"Outside tax year",IF(A609&lt;DATE(YEAR(TaxStart),7,6),"Q1",IF(A609&lt;DATE(YEAR(TaxStart),10,6),"Q2",IF(A609&lt;DATE(YEAR(TaxStart)+1,1,6),"Q3","Q4")))))</f>
        <v/>
      </c>
    </row>
    <row r="610">
      <c r="A610" s="8" t="n"/>
      <c r="B610" s="13" t="n"/>
      <c r="C610" s="13" t="n"/>
      <c r="D610" s="11" t="n"/>
      <c r="E610" s="7">
        <f>IF(A610="","",IF(OR(A610&lt;TaxStart,A610&gt;TaxEnd),"Outside tax year",IF(A610&lt;DATE(YEAR(TaxStart),7,6),"Q1",IF(A610&lt;DATE(YEAR(TaxStart),10,6),"Q2",IF(A610&lt;DATE(YEAR(TaxStart)+1,1,6),"Q3","Q4")))))</f>
        <v/>
      </c>
    </row>
    <row r="611">
      <c r="A611" s="8" t="n"/>
      <c r="B611" s="13" t="n"/>
      <c r="C611" s="13" t="n"/>
      <c r="D611" s="11" t="n"/>
      <c r="E611" s="7">
        <f>IF(A611="","",IF(OR(A611&lt;TaxStart,A611&gt;TaxEnd),"Outside tax year",IF(A611&lt;DATE(YEAR(TaxStart),7,6),"Q1",IF(A611&lt;DATE(YEAR(TaxStart),10,6),"Q2",IF(A611&lt;DATE(YEAR(TaxStart)+1,1,6),"Q3","Q4")))))</f>
        <v/>
      </c>
    </row>
    <row r="612">
      <c r="A612" s="8" t="n"/>
      <c r="B612" s="13" t="n"/>
      <c r="C612" s="13" t="n"/>
      <c r="D612" s="11" t="n"/>
      <c r="E612" s="7">
        <f>IF(A612="","",IF(OR(A612&lt;TaxStart,A612&gt;TaxEnd),"Outside tax year",IF(A612&lt;DATE(YEAR(TaxStart),7,6),"Q1",IF(A612&lt;DATE(YEAR(TaxStart),10,6),"Q2",IF(A612&lt;DATE(YEAR(TaxStart)+1,1,6),"Q3","Q4")))))</f>
        <v/>
      </c>
    </row>
    <row r="613">
      <c r="A613" s="8" t="n"/>
      <c r="B613" s="13" t="n"/>
      <c r="C613" s="13" t="n"/>
      <c r="D613" s="11" t="n"/>
      <c r="E613" s="7">
        <f>IF(A613="","",IF(OR(A613&lt;TaxStart,A613&gt;TaxEnd),"Outside tax year",IF(A613&lt;DATE(YEAR(TaxStart),7,6),"Q1",IF(A613&lt;DATE(YEAR(TaxStart),10,6),"Q2",IF(A613&lt;DATE(YEAR(TaxStart)+1,1,6),"Q3","Q4")))))</f>
        <v/>
      </c>
    </row>
    <row r="614">
      <c r="A614" s="8" t="n"/>
      <c r="B614" s="13" t="n"/>
      <c r="C614" s="13" t="n"/>
      <c r="D614" s="11" t="n"/>
      <c r="E614" s="7">
        <f>IF(A614="","",IF(OR(A614&lt;TaxStart,A614&gt;TaxEnd),"Outside tax year",IF(A614&lt;DATE(YEAR(TaxStart),7,6),"Q1",IF(A614&lt;DATE(YEAR(TaxStart),10,6),"Q2",IF(A614&lt;DATE(YEAR(TaxStart)+1,1,6),"Q3","Q4")))))</f>
        <v/>
      </c>
    </row>
    <row r="615">
      <c r="A615" s="8" t="n"/>
      <c r="B615" s="13" t="n"/>
      <c r="C615" s="13" t="n"/>
      <c r="D615" s="11" t="n"/>
      <c r="E615" s="7">
        <f>IF(A615="","",IF(OR(A615&lt;TaxStart,A615&gt;TaxEnd),"Outside tax year",IF(A615&lt;DATE(YEAR(TaxStart),7,6),"Q1",IF(A615&lt;DATE(YEAR(TaxStart),10,6),"Q2",IF(A615&lt;DATE(YEAR(TaxStart)+1,1,6),"Q3","Q4")))))</f>
        <v/>
      </c>
    </row>
    <row r="616">
      <c r="A616" s="8" t="n"/>
      <c r="B616" s="13" t="n"/>
      <c r="C616" s="13" t="n"/>
      <c r="D616" s="11" t="n"/>
      <c r="E616" s="7">
        <f>IF(A616="","",IF(OR(A616&lt;TaxStart,A616&gt;TaxEnd),"Outside tax year",IF(A616&lt;DATE(YEAR(TaxStart),7,6),"Q1",IF(A616&lt;DATE(YEAR(TaxStart),10,6),"Q2",IF(A616&lt;DATE(YEAR(TaxStart)+1,1,6),"Q3","Q4")))))</f>
        <v/>
      </c>
    </row>
    <row r="617">
      <c r="A617" s="8" t="n"/>
      <c r="B617" s="13" t="n"/>
      <c r="C617" s="13" t="n"/>
      <c r="D617" s="11" t="n"/>
      <c r="E617" s="7">
        <f>IF(A617="","",IF(OR(A617&lt;TaxStart,A617&gt;TaxEnd),"Outside tax year",IF(A617&lt;DATE(YEAR(TaxStart),7,6),"Q1",IF(A617&lt;DATE(YEAR(TaxStart),10,6),"Q2",IF(A617&lt;DATE(YEAR(TaxStart)+1,1,6),"Q3","Q4")))))</f>
        <v/>
      </c>
    </row>
    <row r="618">
      <c r="A618" s="8" t="n"/>
      <c r="B618" s="13" t="n"/>
      <c r="C618" s="13" t="n"/>
      <c r="D618" s="11" t="n"/>
      <c r="E618" s="7">
        <f>IF(A618="","",IF(OR(A618&lt;TaxStart,A618&gt;TaxEnd),"Outside tax year",IF(A618&lt;DATE(YEAR(TaxStart),7,6),"Q1",IF(A618&lt;DATE(YEAR(TaxStart),10,6),"Q2",IF(A618&lt;DATE(YEAR(TaxStart)+1,1,6),"Q3","Q4")))))</f>
        <v/>
      </c>
    </row>
    <row r="619">
      <c r="A619" s="8" t="n"/>
      <c r="B619" s="13" t="n"/>
      <c r="C619" s="13" t="n"/>
      <c r="D619" s="11" t="n"/>
      <c r="E619" s="7">
        <f>IF(A619="","",IF(OR(A619&lt;TaxStart,A619&gt;TaxEnd),"Outside tax year",IF(A619&lt;DATE(YEAR(TaxStart),7,6),"Q1",IF(A619&lt;DATE(YEAR(TaxStart),10,6),"Q2",IF(A619&lt;DATE(YEAR(TaxStart)+1,1,6),"Q3","Q4")))))</f>
        <v/>
      </c>
    </row>
    <row r="620">
      <c r="A620" s="8" t="n"/>
      <c r="B620" s="13" t="n"/>
      <c r="C620" s="13" t="n"/>
      <c r="D620" s="11" t="n"/>
      <c r="E620" s="7">
        <f>IF(A620="","",IF(OR(A620&lt;TaxStart,A620&gt;TaxEnd),"Outside tax year",IF(A620&lt;DATE(YEAR(TaxStart),7,6),"Q1",IF(A620&lt;DATE(YEAR(TaxStart),10,6),"Q2",IF(A620&lt;DATE(YEAR(TaxStart)+1,1,6),"Q3","Q4")))))</f>
        <v/>
      </c>
    </row>
    <row r="621">
      <c r="A621" s="8" t="n"/>
      <c r="B621" s="13" t="n"/>
      <c r="C621" s="13" t="n"/>
      <c r="D621" s="11" t="n"/>
      <c r="E621" s="7">
        <f>IF(A621="","",IF(OR(A621&lt;TaxStart,A621&gt;TaxEnd),"Outside tax year",IF(A621&lt;DATE(YEAR(TaxStart),7,6),"Q1",IF(A621&lt;DATE(YEAR(TaxStart),10,6),"Q2",IF(A621&lt;DATE(YEAR(TaxStart)+1,1,6),"Q3","Q4")))))</f>
        <v/>
      </c>
    </row>
    <row r="622">
      <c r="A622" s="8" t="n"/>
      <c r="B622" s="13" t="n"/>
      <c r="C622" s="13" t="n"/>
      <c r="D622" s="11" t="n"/>
      <c r="E622" s="7">
        <f>IF(A622="","",IF(OR(A622&lt;TaxStart,A622&gt;TaxEnd),"Outside tax year",IF(A622&lt;DATE(YEAR(TaxStart),7,6),"Q1",IF(A622&lt;DATE(YEAR(TaxStart),10,6),"Q2",IF(A622&lt;DATE(YEAR(TaxStart)+1,1,6),"Q3","Q4")))))</f>
        <v/>
      </c>
    </row>
    <row r="623">
      <c r="A623" s="8" t="n"/>
      <c r="B623" s="13" t="n"/>
      <c r="C623" s="13" t="n"/>
      <c r="D623" s="11" t="n"/>
      <c r="E623" s="7">
        <f>IF(A623="","",IF(OR(A623&lt;TaxStart,A623&gt;TaxEnd),"Outside tax year",IF(A623&lt;DATE(YEAR(TaxStart),7,6),"Q1",IF(A623&lt;DATE(YEAR(TaxStart),10,6),"Q2",IF(A623&lt;DATE(YEAR(TaxStart)+1,1,6),"Q3","Q4")))))</f>
        <v/>
      </c>
    </row>
    <row r="624">
      <c r="A624" s="8" t="n"/>
      <c r="B624" s="13" t="n"/>
      <c r="C624" s="13" t="n"/>
      <c r="D624" s="11" t="n"/>
      <c r="E624" s="7">
        <f>IF(A624="","",IF(OR(A624&lt;TaxStart,A624&gt;TaxEnd),"Outside tax year",IF(A624&lt;DATE(YEAR(TaxStart),7,6),"Q1",IF(A624&lt;DATE(YEAR(TaxStart),10,6),"Q2",IF(A624&lt;DATE(YEAR(TaxStart)+1,1,6),"Q3","Q4")))))</f>
        <v/>
      </c>
    </row>
    <row r="625">
      <c r="A625" s="8" t="n"/>
      <c r="B625" s="13" t="n"/>
      <c r="C625" s="13" t="n"/>
      <c r="D625" s="11" t="n"/>
      <c r="E625" s="7">
        <f>IF(A625="","",IF(OR(A625&lt;TaxStart,A625&gt;TaxEnd),"Outside tax year",IF(A625&lt;DATE(YEAR(TaxStart),7,6),"Q1",IF(A625&lt;DATE(YEAR(TaxStart),10,6),"Q2",IF(A625&lt;DATE(YEAR(TaxStart)+1,1,6),"Q3","Q4")))))</f>
        <v/>
      </c>
    </row>
    <row r="626">
      <c r="A626" s="8" t="n"/>
      <c r="B626" s="13" t="n"/>
      <c r="C626" s="13" t="n"/>
      <c r="D626" s="11" t="n"/>
      <c r="E626" s="7">
        <f>IF(A626="","",IF(OR(A626&lt;TaxStart,A626&gt;TaxEnd),"Outside tax year",IF(A626&lt;DATE(YEAR(TaxStart),7,6),"Q1",IF(A626&lt;DATE(YEAR(TaxStart),10,6),"Q2",IF(A626&lt;DATE(YEAR(TaxStart)+1,1,6),"Q3","Q4")))))</f>
        <v/>
      </c>
    </row>
    <row r="627">
      <c r="A627" s="8" t="n"/>
      <c r="B627" s="13" t="n"/>
      <c r="C627" s="13" t="n"/>
      <c r="D627" s="11" t="n"/>
      <c r="E627" s="7">
        <f>IF(A627="","",IF(OR(A627&lt;TaxStart,A627&gt;TaxEnd),"Outside tax year",IF(A627&lt;DATE(YEAR(TaxStart),7,6),"Q1",IF(A627&lt;DATE(YEAR(TaxStart),10,6),"Q2",IF(A627&lt;DATE(YEAR(TaxStart)+1,1,6),"Q3","Q4")))))</f>
        <v/>
      </c>
    </row>
    <row r="628">
      <c r="A628" s="8" t="n"/>
      <c r="B628" s="13" t="n"/>
      <c r="C628" s="13" t="n"/>
      <c r="D628" s="11" t="n"/>
      <c r="E628" s="7">
        <f>IF(A628="","",IF(OR(A628&lt;TaxStart,A628&gt;TaxEnd),"Outside tax year",IF(A628&lt;DATE(YEAR(TaxStart),7,6),"Q1",IF(A628&lt;DATE(YEAR(TaxStart),10,6),"Q2",IF(A628&lt;DATE(YEAR(TaxStart)+1,1,6),"Q3","Q4")))))</f>
        <v/>
      </c>
    </row>
    <row r="629">
      <c r="A629" s="8" t="n"/>
      <c r="B629" s="13" t="n"/>
      <c r="C629" s="13" t="n"/>
      <c r="D629" s="11" t="n"/>
      <c r="E629" s="7">
        <f>IF(A629="","",IF(OR(A629&lt;TaxStart,A629&gt;TaxEnd),"Outside tax year",IF(A629&lt;DATE(YEAR(TaxStart),7,6),"Q1",IF(A629&lt;DATE(YEAR(TaxStart),10,6),"Q2",IF(A629&lt;DATE(YEAR(TaxStart)+1,1,6),"Q3","Q4")))))</f>
        <v/>
      </c>
    </row>
    <row r="630">
      <c r="A630" s="8" t="n"/>
      <c r="B630" s="13" t="n"/>
      <c r="C630" s="13" t="n"/>
      <c r="D630" s="11" t="n"/>
      <c r="E630" s="7">
        <f>IF(A630="","",IF(OR(A630&lt;TaxStart,A630&gt;TaxEnd),"Outside tax year",IF(A630&lt;DATE(YEAR(TaxStart),7,6),"Q1",IF(A630&lt;DATE(YEAR(TaxStart),10,6),"Q2",IF(A630&lt;DATE(YEAR(TaxStart)+1,1,6),"Q3","Q4")))))</f>
        <v/>
      </c>
    </row>
    <row r="631">
      <c r="A631" s="8" t="n"/>
      <c r="B631" s="13" t="n"/>
      <c r="C631" s="13" t="n"/>
      <c r="D631" s="11" t="n"/>
      <c r="E631" s="7">
        <f>IF(A631="","",IF(OR(A631&lt;TaxStart,A631&gt;TaxEnd),"Outside tax year",IF(A631&lt;DATE(YEAR(TaxStart),7,6),"Q1",IF(A631&lt;DATE(YEAR(TaxStart),10,6),"Q2",IF(A631&lt;DATE(YEAR(TaxStart)+1,1,6),"Q3","Q4")))))</f>
        <v/>
      </c>
    </row>
    <row r="632">
      <c r="A632" s="8" t="n"/>
      <c r="B632" s="13" t="n"/>
      <c r="C632" s="13" t="n"/>
      <c r="D632" s="11" t="n"/>
      <c r="E632" s="7">
        <f>IF(A632="","",IF(OR(A632&lt;TaxStart,A632&gt;TaxEnd),"Outside tax year",IF(A632&lt;DATE(YEAR(TaxStart),7,6),"Q1",IF(A632&lt;DATE(YEAR(TaxStart),10,6),"Q2",IF(A632&lt;DATE(YEAR(TaxStart)+1,1,6),"Q3","Q4")))))</f>
        <v/>
      </c>
    </row>
    <row r="633">
      <c r="A633" s="8" t="n"/>
      <c r="B633" s="13" t="n"/>
      <c r="C633" s="13" t="n"/>
      <c r="D633" s="11" t="n"/>
      <c r="E633" s="7">
        <f>IF(A633="","",IF(OR(A633&lt;TaxStart,A633&gt;TaxEnd),"Outside tax year",IF(A633&lt;DATE(YEAR(TaxStart),7,6),"Q1",IF(A633&lt;DATE(YEAR(TaxStart),10,6),"Q2",IF(A633&lt;DATE(YEAR(TaxStart)+1,1,6),"Q3","Q4")))))</f>
        <v/>
      </c>
    </row>
    <row r="634">
      <c r="A634" s="8" t="n"/>
      <c r="B634" s="13" t="n"/>
      <c r="C634" s="13" t="n"/>
      <c r="D634" s="11" t="n"/>
      <c r="E634" s="7">
        <f>IF(A634="","",IF(OR(A634&lt;TaxStart,A634&gt;TaxEnd),"Outside tax year",IF(A634&lt;DATE(YEAR(TaxStart),7,6),"Q1",IF(A634&lt;DATE(YEAR(TaxStart),10,6),"Q2",IF(A634&lt;DATE(YEAR(TaxStart)+1,1,6),"Q3","Q4")))))</f>
        <v/>
      </c>
    </row>
    <row r="635">
      <c r="A635" s="8" t="n"/>
      <c r="B635" s="13" t="n"/>
      <c r="C635" s="13" t="n"/>
      <c r="D635" s="11" t="n"/>
      <c r="E635" s="7">
        <f>IF(A635="","",IF(OR(A635&lt;TaxStart,A635&gt;TaxEnd),"Outside tax year",IF(A635&lt;DATE(YEAR(TaxStart),7,6),"Q1",IF(A635&lt;DATE(YEAR(TaxStart),10,6),"Q2",IF(A635&lt;DATE(YEAR(TaxStart)+1,1,6),"Q3","Q4")))))</f>
        <v/>
      </c>
    </row>
    <row r="636">
      <c r="A636" s="8" t="n"/>
      <c r="B636" s="13" t="n"/>
      <c r="C636" s="13" t="n"/>
      <c r="D636" s="11" t="n"/>
      <c r="E636" s="7">
        <f>IF(A636="","",IF(OR(A636&lt;TaxStart,A636&gt;TaxEnd),"Outside tax year",IF(A636&lt;DATE(YEAR(TaxStart),7,6),"Q1",IF(A636&lt;DATE(YEAR(TaxStart),10,6),"Q2",IF(A636&lt;DATE(YEAR(TaxStart)+1,1,6),"Q3","Q4")))))</f>
        <v/>
      </c>
    </row>
    <row r="637">
      <c r="A637" s="8" t="n"/>
      <c r="B637" s="13" t="n"/>
      <c r="C637" s="13" t="n"/>
      <c r="D637" s="11" t="n"/>
      <c r="E637" s="7">
        <f>IF(A637="","",IF(OR(A637&lt;TaxStart,A637&gt;TaxEnd),"Outside tax year",IF(A637&lt;DATE(YEAR(TaxStart),7,6),"Q1",IF(A637&lt;DATE(YEAR(TaxStart),10,6),"Q2",IF(A637&lt;DATE(YEAR(TaxStart)+1,1,6),"Q3","Q4")))))</f>
        <v/>
      </c>
    </row>
    <row r="638">
      <c r="A638" s="8" t="n"/>
      <c r="B638" s="13" t="n"/>
      <c r="C638" s="13" t="n"/>
      <c r="D638" s="11" t="n"/>
      <c r="E638" s="7">
        <f>IF(A638="","",IF(OR(A638&lt;TaxStart,A638&gt;TaxEnd),"Outside tax year",IF(A638&lt;DATE(YEAR(TaxStart),7,6),"Q1",IF(A638&lt;DATE(YEAR(TaxStart),10,6),"Q2",IF(A638&lt;DATE(YEAR(TaxStart)+1,1,6),"Q3","Q4")))))</f>
        <v/>
      </c>
    </row>
    <row r="639">
      <c r="A639" s="8" t="n"/>
      <c r="B639" s="13" t="n"/>
      <c r="C639" s="13" t="n"/>
      <c r="D639" s="11" t="n"/>
      <c r="E639" s="7">
        <f>IF(A639="","",IF(OR(A639&lt;TaxStart,A639&gt;TaxEnd),"Outside tax year",IF(A639&lt;DATE(YEAR(TaxStart),7,6),"Q1",IF(A639&lt;DATE(YEAR(TaxStart),10,6),"Q2",IF(A639&lt;DATE(YEAR(TaxStart)+1,1,6),"Q3","Q4")))))</f>
        <v/>
      </c>
    </row>
    <row r="640">
      <c r="A640" s="8" t="n"/>
      <c r="B640" s="13" t="n"/>
      <c r="C640" s="13" t="n"/>
      <c r="D640" s="11" t="n"/>
      <c r="E640" s="7">
        <f>IF(A640="","",IF(OR(A640&lt;TaxStart,A640&gt;TaxEnd),"Outside tax year",IF(A640&lt;DATE(YEAR(TaxStart),7,6),"Q1",IF(A640&lt;DATE(YEAR(TaxStart),10,6),"Q2",IF(A640&lt;DATE(YEAR(TaxStart)+1,1,6),"Q3","Q4")))))</f>
        <v/>
      </c>
    </row>
    <row r="641">
      <c r="A641" s="8" t="n"/>
      <c r="B641" s="13" t="n"/>
      <c r="C641" s="13" t="n"/>
      <c r="D641" s="11" t="n"/>
      <c r="E641" s="7">
        <f>IF(A641="","",IF(OR(A641&lt;TaxStart,A641&gt;TaxEnd),"Outside tax year",IF(A641&lt;DATE(YEAR(TaxStart),7,6),"Q1",IF(A641&lt;DATE(YEAR(TaxStart),10,6),"Q2",IF(A641&lt;DATE(YEAR(TaxStart)+1,1,6),"Q3","Q4")))))</f>
        <v/>
      </c>
    </row>
    <row r="642">
      <c r="A642" s="8" t="n"/>
      <c r="B642" s="13" t="n"/>
      <c r="C642" s="13" t="n"/>
      <c r="D642" s="11" t="n"/>
      <c r="E642" s="7">
        <f>IF(A642="","",IF(OR(A642&lt;TaxStart,A642&gt;TaxEnd),"Outside tax year",IF(A642&lt;DATE(YEAR(TaxStart),7,6),"Q1",IF(A642&lt;DATE(YEAR(TaxStart),10,6),"Q2",IF(A642&lt;DATE(YEAR(TaxStart)+1,1,6),"Q3","Q4")))))</f>
        <v/>
      </c>
    </row>
    <row r="643">
      <c r="A643" s="8" t="n"/>
      <c r="B643" s="13" t="n"/>
      <c r="C643" s="13" t="n"/>
      <c r="D643" s="11" t="n"/>
      <c r="E643" s="7">
        <f>IF(A643="","",IF(OR(A643&lt;TaxStart,A643&gt;TaxEnd),"Outside tax year",IF(A643&lt;DATE(YEAR(TaxStart),7,6),"Q1",IF(A643&lt;DATE(YEAR(TaxStart),10,6),"Q2",IF(A643&lt;DATE(YEAR(TaxStart)+1,1,6),"Q3","Q4")))))</f>
        <v/>
      </c>
    </row>
    <row r="644">
      <c r="A644" s="8" t="n"/>
      <c r="B644" s="13" t="n"/>
      <c r="C644" s="13" t="n"/>
      <c r="D644" s="11" t="n"/>
      <c r="E644" s="7">
        <f>IF(A644="","",IF(OR(A644&lt;TaxStart,A644&gt;TaxEnd),"Outside tax year",IF(A644&lt;DATE(YEAR(TaxStart),7,6),"Q1",IF(A644&lt;DATE(YEAR(TaxStart),10,6),"Q2",IF(A644&lt;DATE(YEAR(TaxStart)+1,1,6),"Q3","Q4")))))</f>
        <v/>
      </c>
    </row>
    <row r="645">
      <c r="A645" s="8" t="n"/>
      <c r="B645" s="13" t="n"/>
      <c r="C645" s="13" t="n"/>
      <c r="D645" s="11" t="n"/>
      <c r="E645" s="7">
        <f>IF(A645="","",IF(OR(A645&lt;TaxStart,A645&gt;TaxEnd),"Outside tax year",IF(A645&lt;DATE(YEAR(TaxStart),7,6),"Q1",IF(A645&lt;DATE(YEAR(TaxStart),10,6),"Q2",IF(A645&lt;DATE(YEAR(TaxStart)+1,1,6),"Q3","Q4")))))</f>
        <v/>
      </c>
    </row>
    <row r="646">
      <c r="A646" s="8" t="n"/>
      <c r="B646" s="13" t="n"/>
      <c r="C646" s="13" t="n"/>
      <c r="D646" s="11" t="n"/>
      <c r="E646" s="7">
        <f>IF(A646="","",IF(OR(A646&lt;TaxStart,A646&gt;TaxEnd),"Outside tax year",IF(A646&lt;DATE(YEAR(TaxStart),7,6),"Q1",IF(A646&lt;DATE(YEAR(TaxStart),10,6),"Q2",IF(A646&lt;DATE(YEAR(TaxStart)+1,1,6),"Q3","Q4")))))</f>
        <v/>
      </c>
    </row>
    <row r="647">
      <c r="A647" s="8" t="n"/>
      <c r="B647" s="13" t="n"/>
      <c r="C647" s="13" t="n"/>
      <c r="D647" s="11" t="n"/>
      <c r="E647" s="7">
        <f>IF(A647="","",IF(OR(A647&lt;TaxStart,A647&gt;TaxEnd),"Outside tax year",IF(A647&lt;DATE(YEAR(TaxStart),7,6),"Q1",IF(A647&lt;DATE(YEAR(TaxStart),10,6),"Q2",IF(A647&lt;DATE(YEAR(TaxStart)+1,1,6),"Q3","Q4")))))</f>
        <v/>
      </c>
    </row>
    <row r="648">
      <c r="A648" s="8" t="n"/>
      <c r="B648" s="13" t="n"/>
      <c r="C648" s="13" t="n"/>
      <c r="D648" s="11" t="n"/>
      <c r="E648" s="7">
        <f>IF(A648="","",IF(OR(A648&lt;TaxStart,A648&gt;TaxEnd),"Outside tax year",IF(A648&lt;DATE(YEAR(TaxStart),7,6),"Q1",IF(A648&lt;DATE(YEAR(TaxStart),10,6),"Q2",IF(A648&lt;DATE(YEAR(TaxStart)+1,1,6),"Q3","Q4")))))</f>
        <v/>
      </c>
    </row>
    <row r="649">
      <c r="A649" s="8" t="n"/>
      <c r="B649" s="13" t="n"/>
      <c r="C649" s="13" t="n"/>
      <c r="D649" s="11" t="n"/>
      <c r="E649" s="7">
        <f>IF(A649="","",IF(OR(A649&lt;TaxStart,A649&gt;TaxEnd),"Outside tax year",IF(A649&lt;DATE(YEAR(TaxStart),7,6),"Q1",IF(A649&lt;DATE(YEAR(TaxStart),10,6),"Q2",IF(A649&lt;DATE(YEAR(TaxStart)+1,1,6),"Q3","Q4")))))</f>
        <v/>
      </c>
    </row>
    <row r="650">
      <c r="A650" s="8" t="n"/>
      <c r="B650" s="13" t="n"/>
      <c r="C650" s="13" t="n"/>
      <c r="D650" s="11" t="n"/>
      <c r="E650" s="7">
        <f>IF(A650="","",IF(OR(A650&lt;TaxStart,A650&gt;TaxEnd),"Outside tax year",IF(A650&lt;DATE(YEAR(TaxStart),7,6),"Q1",IF(A650&lt;DATE(YEAR(TaxStart),10,6),"Q2",IF(A650&lt;DATE(YEAR(TaxStart)+1,1,6),"Q3","Q4")))))</f>
        <v/>
      </c>
    </row>
    <row r="651">
      <c r="A651" s="8" t="n"/>
      <c r="B651" s="13" t="n"/>
      <c r="C651" s="13" t="n"/>
      <c r="D651" s="11" t="n"/>
      <c r="E651" s="7">
        <f>IF(A651="","",IF(OR(A651&lt;TaxStart,A651&gt;TaxEnd),"Outside tax year",IF(A651&lt;DATE(YEAR(TaxStart),7,6),"Q1",IF(A651&lt;DATE(YEAR(TaxStart),10,6),"Q2",IF(A651&lt;DATE(YEAR(TaxStart)+1,1,6),"Q3","Q4")))))</f>
        <v/>
      </c>
    </row>
    <row r="652">
      <c r="A652" s="8" t="n"/>
      <c r="B652" s="13" t="n"/>
      <c r="C652" s="13" t="n"/>
      <c r="D652" s="11" t="n"/>
      <c r="E652" s="7">
        <f>IF(A652="","",IF(OR(A652&lt;TaxStart,A652&gt;TaxEnd),"Outside tax year",IF(A652&lt;DATE(YEAR(TaxStart),7,6),"Q1",IF(A652&lt;DATE(YEAR(TaxStart),10,6),"Q2",IF(A652&lt;DATE(YEAR(TaxStart)+1,1,6),"Q3","Q4")))))</f>
        <v/>
      </c>
    </row>
    <row r="653">
      <c r="A653" s="8" t="n"/>
      <c r="B653" s="13" t="n"/>
      <c r="C653" s="13" t="n"/>
      <c r="D653" s="11" t="n"/>
      <c r="E653" s="7">
        <f>IF(A653="","",IF(OR(A653&lt;TaxStart,A653&gt;TaxEnd),"Outside tax year",IF(A653&lt;DATE(YEAR(TaxStart),7,6),"Q1",IF(A653&lt;DATE(YEAR(TaxStart),10,6),"Q2",IF(A653&lt;DATE(YEAR(TaxStart)+1,1,6),"Q3","Q4")))))</f>
        <v/>
      </c>
    </row>
    <row r="654">
      <c r="A654" s="8" t="n"/>
      <c r="B654" s="13" t="n"/>
      <c r="C654" s="13" t="n"/>
      <c r="D654" s="11" t="n"/>
      <c r="E654" s="7">
        <f>IF(A654="","",IF(OR(A654&lt;TaxStart,A654&gt;TaxEnd),"Outside tax year",IF(A654&lt;DATE(YEAR(TaxStart),7,6),"Q1",IF(A654&lt;DATE(YEAR(TaxStart),10,6),"Q2",IF(A654&lt;DATE(YEAR(TaxStart)+1,1,6),"Q3","Q4")))))</f>
        <v/>
      </c>
    </row>
    <row r="655">
      <c r="A655" s="8" t="n"/>
      <c r="B655" s="13" t="n"/>
      <c r="C655" s="13" t="n"/>
      <c r="D655" s="11" t="n"/>
      <c r="E655" s="7">
        <f>IF(A655="","",IF(OR(A655&lt;TaxStart,A655&gt;TaxEnd),"Outside tax year",IF(A655&lt;DATE(YEAR(TaxStart),7,6),"Q1",IF(A655&lt;DATE(YEAR(TaxStart),10,6),"Q2",IF(A655&lt;DATE(YEAR(TaxStart)+1,1,6),"Q3","Q4")))))</f>
        <v/>
      </c>
    </row>
    <row r="656">
      <c r="A656" s="8" t="n"/>
      <c r="B656" s="13" t="n"/>
      <c r="C656" s="13" t="n"/>
      <c r="D656" s="11" t="n"/>
      <c r="E656" s="7">
        <f>IF(A656="","",IF(OR(A656&lt;TaxStart,A656&gt;TaxEnd),"Outside tax year",IF(A656&lt;DATE(YEAR(TaxStart),7,6),"Q1",IF(A656&lt;DATE(YEAR(TaxStart),10,6),"Q2",IF(A656&lt;DATE(YEAR(TaxStart)+1,1,6),"Q3","Q4")))))</f>
        <v/>
      </c>
    </row>
    <row r="657">
      <c r="A657" s="8" t="n"/>
      <c r="B657" s="13" t="n"/>
      <c r="C657" s="13" t="n"/>
      <c r="D657" s="11" t="n"/>
      <c r="E657" s="7">
        <f>IF(A657="","",IF(OR(A657&lt;TaxStart,A657&gt;TaxEnd),"Outside tax year",IF(A657&lt;DATE(YEAR(TaxStart),7,6),"Q1",IF(A657&lt;DATE(YEAR(TaxStart),10,6),"Q2",IF(A657&lt;DATE(YEAR(TaxStart)+1,1,6),"Q3","Q4")))))</f>
        <v/>
      </c>
    </row>
    <row r="658">
      <c r="A658" s="8" t="n"/>
      <c r="B658" s="13" t="n"/>
      <c r="C658" s="13" t="n"/>
      <c r="D658" s="11" t="n"/>
      <c r="E658" s="7">
        <f>IF(A658="","",IF(OR(A658&lt;TaxStart,A658&gt;TaxEnd),"Outside tax year",IF(A658&lt;DATE(YEAR(TaxStart),7,6),"Q1",IF(A658&lt;DATE(YEAR(TaxStart),10,6),"Q2",IF(A658&lt;DATE(YEAR(TaxStart)+1,1,6),"Q3","Q4")))))</f>
        <v/>
      </c>
    </row>
    <row r="659">
      <c r="A659" s="8" t="n"/>
      <c r="B659" s="13" t="n"/>
      <c r="C659" s="13" t="n"/>
      <c r="D659" s="11" t="n"/>
      <c r="E659" s="7">
        <f>IF(A659="","",IF(OR(A659&lt;TaxStart,A659&gt;TaxEnd),"Outside tax year",IF(A659&lt;DATE(YEAR(TaxStart),7,6),"Q1",IF(A659&lt;DATE(YEAR(TaxStart),10,6),"Q2",IF(A659&lt;DATE(YEAR(TaxStart)+1,1,6),"Q3","Q4")))))</f>
        <v/>
      </c>
    </row>
    <row r="660">
      <c r="A660" s="8" t="n"/>
      <c r="B660" s="13" t="n"/>
      <c r="C660" s="13" t="n"/>
      <c r="D660" s="11" t="n"/>
      <c r="E660" s="7">
        <f>IF(A660="","",IF(OR(A660&lt;TaxStart,A660&gt;TaxEnd),"Outside tax year",IF(A660&lt;DATE(YEAR(TaxStart),7,6),"Q1",IF(A660&lt;DATE(YEAR(TaxStart),10,6),"Q2",IF(A660&lt;DATE(YEAR(TaxStart)+1,1,6),"Q3","Q4")))))</f>
        <v/>
      </c>
    </row>
    <row r="661">
      <c r="A661" s="8" t="n"/>
      <c r="B661" s="13" t="n"/>
      <c r="C661" s="13" t="n"/>
      <c r="D661" s="11" t="n"/>
      <c r="E661" s="7">
        <f>IF(A661="","",IF(OR(A661&lt;TaxStart,A661&gt;TaxEnd),"Outside tax year",IF(A661&lt;DATE(YEAR(TaxStart),7,6),"Q1",IF(A661&lt;DATE(YEAR(TaxStart),10,6),"Q2",IF(A661&lt;DATE(YEAR(TaxStart)+1,1,6),"Q3","Q4")))))</f>
        <v/>
      </c>
    </row>
    <row r="662">
      <c r="A662" s="8" t="n"/>
      <c r="B662" s="13" t="n"/>
      <c r="C662" s="13" t="n"/>
      <c r="D662" s="11" t="n"/>
      <c r="E662" s="7">
        <f>IF(A662="","",IF(OR(A662&lt;TaxStart,A662&gt;TaxEnd),"Outside tax year",IF(A662&lt;DATE(YEAR(TaxStart),7,6),"Q1",IF(A662&lt;DATE(YEAR(TaxStart),10,6),"Q2",IF(A662&lt;DATE(YEAR(TaxStart)+1,1,6),"Q3","Q4")))))</f>
        <v/>
      </c>
    </row>
    <row r="663">
      <c r="A663" s="8" t="n"/>
      <c r="B663" s="13" t="n"/>
      <c r="C663" s="13" t="n"/>
      <c r="D663" s="11" t="n"/>
      <c r="E663" s="7">
        <f>IF(A663="","",IF(OR(A663&lt;TaxStart,A663&gt;TaxEnd),"Outside tax year",IF(A663&lt;DATE(YEAR(TaxStart),7,6),"Q1",IF(A663&lt;DATE(YEAR(TaxStart),10,6),"Q2",IF(A663&lt;DATE(YEAR(TaxStart)+1,1,6),"Q3","Q4")))))</f>
        <v/>
      </c>
    </row>
    <row r="664">
      <c r="A664" s="8" t="n"/>
      <c r="B664" s="13" t="n"/>
      <c r="C664" s="13" t="n"/>
      <c r="D664" s="11" t="n"/>
      <c r="E664" s="7">
        <f>IF(A664="","",IF(OR(A664&lt;TaxStart,A664&gt;TaxEnd),"Outside tax year",IF(A664&lt;DATE(YEAR(TaxStart),7,6),"Q1",IF(A664&lt;DATE(YEAR(TaxStart),10,6),"Q2",IF(A664&lt;DATE(YEAR(TaxStart)+1,1,6),"Q3","Q4")))))</f>
        <v/>
      </c>
    </row>
    <row r="665">
      <c r="A665" s="8" t="n"/>
      <c r="B665" s="13" t="n"/>
      <c r="C665" s="13" t="n"/>
      <c r="D665" s="11" t="n"/>
      <c r="E665" s="7">
        <f>IF(A665="","",IF(OR(A665&lt;TaxStart,A665&gt;TaxEnd),"Outside tax year",IF(A665&lt;DATE(YEAR(TaxStart),7,6),"Q1",IF(A665&lt;DATE(YEAR(TaxStart),10,6),"Q2",IF(A665&lt;DATE(YEAR(TaxStart)+1,1,6),"Q3","Q4")))))</f>
        <v/>
      </c>
    </row>
    <row r="666">
      <c r="A666" s="8" t="n"/>
      <c r="B666" s="13" t="n"/>
      <c r="C666" s="13" t="n"/>
      <c r="D666" s="11" t="n"/>
      <c r="E666" s="7">
        <f>IF(A666="","",IF(OR(A666&lt;TaxStart,A666&gt;TaxEnd),"Outside tax year",IF(A666&lt;DATE(YEAR(TaxStart),7,6),"Q1",IF(A666&lt;DATE(YEAR(TaxStart),10,6),"Q2",IF(A666&lt;DATE(YEAR(TaxStart)+1,1,6),"Q3","Q4")))))</f>
        <v/>
      </c>
    </row>
    <row r="667">
      <c r="A667" s="8" t="n"/>
      <c r="B667" s="13" t="n"/>
      <c r="C667" s="13" t="n"/>
      <c r="D667" s="11" t="n"/>
      <c r="E667" s="7">
        <f>IF(A667="","",IF(OR(A667&lt;TaxStart,A667&gt;TaxEnd),"Outside tax year",IF(A667&lt;DATE(YEAR(TaxStart),7,6),"Q1",IF(A667&lt;DATE(YEAR(TaxStart),10,6),"Q2",IF(A667&lt;DATE(YEAR(TaxStart)+1,1,6),"Q3","Q4")))))</f>
        <v/>
      </c>
    </row>
    <row r="668">
      <c r="A668" s="8" t="n"/>
      <c r="B668" s="13" t="n"/>
      <c r="C668" s="13" t="n"/>
      <c r="D668" s="11" t="n"/>
      <c r="E668" s="7">
        <f>IF(A668="","",IF(OR(A668&lt;TaxStart,A668&gt;TaxEnd),"Outside tax year",IF(A668&lt;DATE(YEAR(TaxStart),7,6),"Q1",IF(A668&lt;DATE(YEAR(TaxStart),10,6),"Q2",IF(A668&lt;DATE(YEAR(TaxStart)+1,1,6),"Q3","Q4")))))</f>
        <v/>
      </c>
    </row>
    <row r="669">
      <c r="A669" s="8" t="n"/>
      <c r="B669" s="13" t="n"/>
      <c r="C669" s="13" t="n"/>
      <c r="D669" s="11" t="n"/>
      <c r="E669" s="7">
        <f>IF(A669="","",IF(OR(A669&lt;TaxStart,A669&gt;TaxEnd),"Outside tax year",IF(A669&lt;DATE(YEAR(TaxStart),7,6),"Q1",IF(A669&lt;DATE(YEAR(TaxStart),10,6),"Q2",IF(A669&lt;DATE(YEAR(TaxStart)+1,1,6),"Q3","Q4")))))</f>
        <v/>
      </c>
    </row>
    <row r="670">
      <c r="A670" s="8" t="n"/>
      <c r="B670" s="13" t="n"/>
      <c r="C670" s="13" t="n"/>
      <c r="D670" s="11" t="n"/>
      <c r="E670" s="7">
        <f>IF(A670="","",IF(OR(A670&lt;TaxStart,A670&gt;TaxEnd),"Outside tax year",IF(A670&lt;DATE(YEAR(TaxStart),7,6),"Q1",IF(A670&lt;DATE(YEAR(TaxStart),10,6),"Q2",IF(A670&lt;DATE(YEAR(TaxStart)+1,1,6),"Q3","Q4")))))</f>
        <v/>
      </c>
    </row>
    <row r="671">
      <c r="A671" s="8" t="n"/>
      <c r="B671" s="13" t="n"/>
      <c r="C671" s="13" t="n"/>
      <c r="D671" s="11" t="n"/>
      <c r="E671" s="7">
        <f>IF(A671="","",IF(OR(A671&lt;TaxStart,A671&gt;TaxEnd),"Outside tax year",IF(A671&lt;DATE(YEAR(TaxStart),7,6),"Q1",IF(A671&lt;DATE(YEAR(TaxStart),10,6),"Q2",IF(A671&lt;DATE(YEAR(TaxStart)+1,1,6),"Q3","Q4")))))</f>
        <v/>
      </c>
    </row>
    <row r="672">
      <c r="A672" s="8" t="n"/>
      <c r="B672" s="13" t="n"/>
      <c r="C672" s="13" t="n"/>
      <c r="D672" s="11" t="n"/>
      <c r="E672" s="7">
        <f>IF(A672="","",IF(OR(A672&lt;TaxStart,A672&gt;TaxEnd),"Outside tax year",IF(A672&lt;DATE(YEAR(TaxStart),7,6),"Q1",IF(A672&lt;DATE(YEAR(TaxStart),10,6),"Q2",IF(A672&lt;DATE(YEAR(TaxStart)+1,1,6),"Q3","Q4")))))</f>
        <v/>
      </c>
    </row>
    <row r="673">
      <c r="A673" s="8" t="n"/>
      <c r="B673" s="13" t="n"/>
      <c r="C673" s="13" t="n"/>
      <c r="D673" s="11" t="n"/>
      <c r="E673" s="7">
        <f>IF(A673="","",IF(OR(A673&lt;TaxStart,A673&gt;TaxEnd),"Outside tax year",IF(A673&lt;DATE(YEAR(TaxStart),7,6),"Q1",IF(A673&lt;DATE(YEAR(TaxStart),10,6),"Q2",IF(A673&lt;DATE(YEAR(TaxStart)+1,1,6),"Q3","Q4")))))</f>
        <v/>
      </c>
    </row>
    <row r="674">
      <c r="A674" s="8" t="n"/>
      <c r="B674" s="13" t="n"/>
      <c r="C674" s="13" t="n"/>
      <c r="D674" s="11" t="n"/>
      <c r="E674" s="7">
        <f>IF(A674="","",IF(OR(A674&lt;TaxStart,A674&gt;TaxEnd),"Outside tax year",IF(A674&lt;DATE(YEAR(TaxStart),7,6),"Q1",IF(A674&lt;DATE(YEAR(TaxStart),10,6),"Q2",IF(A674&lt;DATE(YEAR(TaxStart)+1,1,6),"Q3","Q4")))))</f>
        <v/>
      </c>
    </row>
    <row r="675">
      <c r="A675" s="8" t="n"/>
      <c r="B675" s="13" t="n"/>
      <c r="C675" s="13" t="n"/>
      <c r="D675" s="11" t="n"/>
      <c r="E675" s="7">
        <f>IF(A675="","",IF(OR(A675&lt;TaxStart,A675&gt;TaxEnd),"Outside tax year",IF(A675&lt;DATE(YEAR(TaxStart),7,6),"Q1",IF(A675&lt;DATE(YEAR(TaxStart),10,6),"Q2",IF(A675&lt;DATE(YEAR(TaxStart)+1,1,6),"Q3","Q4")))))</f>
        <v/>
      </c>
    </row>
    <row r="676">
      <c r="A676" s="8" t="n"/>
      <c r="B676" s="13" t="n"/>
      <c r="C676" s="13" t="n"/>
      <c r="D676" s="11" t="n"/>
      <c r="E676" s="7">
        <f>IF(A676="","",IF(OR(A676&lt;TaxStart,A676&gt;TaxEnd),"Outside tax year",IF(A676&lt;DATE(YEAR(TaxStart),7,6),"Q1",IF(A676&lt;DATE(YEAR(TaxStart),10,6),"Q2",IF(A676&lt;DATE(YEAR(TaxStart)+1,1,6),"Q3","Q4")))))</f>
        <v/>
      </c>
    </row>
    <row r="677">
      <c r="A677" s="8" t="n"/>
      <c r="B677" s="13" t="n"/>
      <c r="C677" s="13" t="n"/>
      <c r="D677" s="11" t="n"/>
      <c r="E677" s="7">
        <f>IF(A677="","",IF(OR(A677&lt;TaxStart,A677&gt;TaxEnd),"Outside tax year",IF(A677&lt;DATE(YEAR(TaxStart),7,6),"Q1",IF(A677&lt;DATE(YEAR(TaxStart),10,6),"Q2",IF(A677&lt;DATE(YEAR(TaxStart)+1,1,6),"Q3","Q4")))))</f>
        <v/>
      </c>
    </row>
    <row r="678">
      <c r="A678" s="8" t="n"/>
      <c r="B678" s="13" t="n"/>
      <c r="C678" s="13" t="n"/>
      <c r="D678" s="11" t="n"/>
      <c r="E678" s="7">
        <f>IF(A678="","",IF(OR(A678&lt;TaxStart,A678&gt;TaxEnd),"Outside tax year",IF(A678&lt;DATE(YEAR(TaxStart),7,6),"Q1",IF(A678&lt;DATE(YEAR(TaxStart),10,6),"Q2",IF(A678&lt;DATE(YEAR(TaxStart)+1,1,6),"Q3","Q4")))))</f>
        <v/>
      </c>
    </row>
    <row r="679">
      <c r="A679" s="8" t="n"/>
      <c r="B679" s="13" t="n"/>
      <c r="C679" s="13" t="n"/>
      <c r="D679" s="11" t="n"/>
      <c r="E679" s="7">
        <f>IF(A679="","",IF(OR(A679&lt;TaxStart,A679&gt;TaxEnd),"Outside tax year",IF(A679&lt;DATE(YEAR(TaxStart),7,6),"Q1",IF(A679&lt;DATE(YEAR(TaxStart),10,6),"Q2",IF(A679&lt;DATE(YEAR(TaxStart)+1,1,6),"Q3","Q4")))))</f>
        <v/>
      </c>
    </row>
    <row r="680">
      <c r="A680" s="8" t="n"/>
      <c r="B680" s="13" t="n"/>
      <c r="C680" s="13" t="n"/>
      <c r="D680" s="11" t="n"/>
      <c r="E680" s="7">
        <f>IF(A680="","",IF(OR(A680&lt;TaxStart,A680&gt;TaxEnd),"Outside tax year",IF(A680&lt;DATE(YEAR(TaxStart),7,6),"Q1",IF(A680&lt;DATE(YEAR(TaxStart),10,6),"Q2",IF(A680&lt;DATE(YEAR(TaxStart)+1,1,6),"Q3","Q4")))))</f>
        <v/>
      </c>
    </row>
    <row r="681">
      <c r="A681" s="8" t="n"/>
      <c r="B681" s="13" t="n"/>
      <c r="C681" s="13" t="n"/>
      <c r="D681" s="11" t="n"/>
      <c r="E681" s="7">
        <f>IF(A681="","",IF(OR(A681&lt;TaxStart,A681&gt;TaxEnd),"Outside tax year",IF(A681&lt;DATE(YEAR(TaxStart),7,6),"Q1",IF(A681&lt;DATE(YEAR(TaxStart),10,6),"Q2",IF(A681&lt;DATE(YEAR(TaxStart)+1,1,6),"Q3","Q4")))))</f>
        <v/>
      </c>
    </row>
    <row r="682">
      <c r="A682" s="8" t="n"/>
      <c r="B682" s="13" t="n"/>
      <c r="C682" s="13" t="n"/>
      <c r="D682" s="11" t="n"/>
      <c r="E682" s="7">
        <f>IF(A682="","",IF(OR(A682&lt;TaxStart,A682&gt;TaxEnd),"Outside tax year",IF(A682&lt;DATE(YEAR(TaxStart),7,6),"Q1",IF(A682&lt;DATE(YEAR(TaxStart),10,6),"Q2",IF(A682&lt;DATE(YEAR(TaxStart)+1,1,6),"Q3","Q4")))))</f>
        <v/>
      </c>
    </row>
    <row r="683">
      <c r="A683" s="8" t="n"/>
      <c r="B683" s="13" t="n"/>
      <c r="C683" s="13" t="n"/>
      <c r="D683" s="11" t="n"/>
      <c r="E683" s="7">
        <f>IF(A683="","",IF(OR(A683&lt;TaxStart,A683&gt;TaxEnd),"Outside tax year",IF(A683&lt;DATE(YEAR(TaxStart),7,6),"Q1",IF(A683&lt;DATE(YEAR(TaxStart),10,6),"Q2",IF(A683&lt;DATE(YEAR(TaxStart)+1,1,6),"Q3","Q4")))))</f>
        <v/>
      </c>
    </row>
    <row r="684">
      <c r="A684" s="8" t="n"/>
      <c r="B684" s="13" t="n"/>
      <c r="C684" s="13" t="n"/>
      <c r="D684" s="11" t="n"/>
      <c r="E684" s="7">
        <f>IF(A684="","",IF(OR(A684&lt;TaxStart,A684&gt;TaxEnd),"Outside tax year",IF(A684&lt;DATE(YEAR(TaxStart),7,6),"Q1",IF(A684&lt;DATE(YEAR(TaxStart),10,6),"Q2",IF(A684&lt;DATE(YEAR(TaxStart)+1,1,6),"Q3","Q4")))))</f>
        <v/>
      </c>
    </row>
    <row r="685">
      <c r="A685" s="8" t="n"/>
      <c r="B685" s="13" t="n"/>
      <c r="C685" s="13" t="n"/>
      <c r="D685" s="11" t="n"/>
      <c r="E685" s="7">
        <f>IF(A685="","",IF(OR(A685&lt;TaxStart,A685&gt;TaxEnd),"Outside tax year",IF(A685&lt;DATE(YEAR(TaxStart),7,6),"Q1",IF(A685&lt;DATE(YEAR(TaxStart),10,6),"Q2",IF(A685&lt;DATE(YEAR(TaxStart)+1,1,6),"Q3","Q4")))))</f>
        <v/>
      </c>
    </row>
    <row r="686">
      <c r="A686" s="8" t="n"/>
      <c r="B686" s="13" t="n"/>
      <c r="C686" s="13" t="n"/>
      <c r="D686" s="11" t="n"/>
      <c r="E686" s="7">
        <f>IF(A686="","",IF(OR(A686&lt;TaxStart,A686&gt;TaxEnd),"Outside tax year",IF(A686&lt;DATE(YEAR(TaxStart),7,6),"Q1",IF(A686&lt;DATE(YEAR(TaxStart),10,6),"Q2",IF(A686&lt;DATE(YEAR(TaxStart)+1,1,6),"Q3","Q4")))))</f>
        <v/>
      </c>
    </row>
    <row r="687">
      <c r="A687" s="8" t="n"/>
      <c r="B687" s="13" t="n"/>
      <c r="C687" s="13" t="n"/>
      <c r="D687" s="11" t="n"/>
      <c r="E687" s="7">
        <f>IF(A687="","",IF(OR(A687&lt;TaxStart,A687&gt;TaxEnd),"Outside tax year",IF(A687&lt;DATE(YEAR(TaxStart),7,6),"Q1",IF(A687&lt;DATE(YEAR(TaxStart),10,6),"Q2",IF(A687&lt;DATE(YEAR(TaxStart)+1,1,6),"Q3","Q4")))))</f>
        <v/>
      </c>
    </row>
    <row r="688">
      <c r="A688" s="8" t="n"/>
      <c r="B688" s="13" t="n"/>
      <c r="C688" s="13" t="n"/>
      <c r="D688" s="11" t="n"/>
      <c r="E688" s="7">
        <f>IF(A688="","",IF(OR(A688&lt;TaxStart,A688&gt;TaxEnd),"Outside tax year",IF(A688&lt;DATE(YEAR(TaxStart),7,6),"Q1",IF(A688&lt;DATE(YEAR(TaxStart),10,6),"Q2",IF(A688&lt;DATE(YEAR(TaxStart)+1,1,6),"Q3","Q4")))))</f>
        <v/>
      </c>
    </row>
    <row r="689">
      <c r="A689" s="8" t="n"/>
      <c r="B689" s="13" t="n"/>
      <c r="C689" s="13" t="n"/>
      <c r="D689" s="11" t="n"/>
      <c r="E689" s="7">
        <f>IF(A689="","",IF(OR(A689&lt;TaxStart,A689&gt;TaxEnd),"Outside tax year",IF(A689&lt;DATE(YEAR(TaxStart),7,6),"Q1",IF(A689&lt;DATE(YEAR(TaxStart),10,6),"Q2",IF(A689&lt;DATE(YEAR(TaxStart)+1,1,6),"Q3","Q4")))))</f>
        <v/>
      </c>
    </row>
    <row r="690">
      <c r="A690" s="8" t="n"/>
      <c r="B690" s="13" t="n"/>
      <c r="C690" s="13" t="n"/>
      <c r="D690" s="11" t="n"/>
      <c r="E690" s="7">
        <f>IF(A690="","",IF(OR(A690&lt;TaxStart,A690&gt;TaxEnd),"Outside tax year",IF(A690&lt;DATE(YEAR(TaxStart),7,6),"Q1",IF(A690&lt;DATE(YEAR(TaxStart),10,6),"Q2",IF(A690&lt;DATE(YEAR(TaxStart)+1,1,6),"Q3","Q4")))))</f>
        <v/>
      </c>
    </row>
    <row r="691">
      <c r="A691" s="8" t="n"/>
      <c r="B691" s="13" t="n"/>
      <c r="C691" s="13" t="n"/>
      <c r="D691" s="11" t="n"/>
      <c r="E691" s="7">
        <f>IF(A691="","",IF(OR(A691&lt;TaxStart,A691&gt;TaxEnd),"Outside tax year",IF(A691&lt;DATE(YEAR(TaxStart),7,6),"Q1",IF(A691&lt;DATE(YEAR(TaxStart),10,6),"Q2",IF(A691&lt;DATE(YEAR(TaxStart)+1,1,6),"Q3","Q4")))))</f>
        <v/>
      </c>
    </row>
    <row r="692">
      <c r="A692" s="8" t="n"/>
      <c r="B692" s="13" t="n"/>
      <c r="C692" s="13" t="n"/>
      <c r="D692" s="11" t="n"/>
      <c r="E692" s="7">
        <f>IF(A692="","",IF(OR(A692&lt;TaxStart,A692&gt;TaxEnd),"Outside tax year",IF(A692&lt;DATE(YEAR(TaxStart),7,6),"Q1",IF(A692&lt;DATE(YEAR(TaxStart),10,6),"Q2",IF(A692&lt;DATE(YEAR(TaxStart)+1,1,6),"Q3","Q4")))))</f>
        <v/>
      </c>
    </row>
    <row r="693">
      <c r="A693" s="8" t="n"/>
      <c r="B693" s="13" t="n"/>
      <c r="C693" s="13" t="n"/>
      <c r="D693" s="11" t="n"/>
      <c r="E693" s="7">
        <f>IF(A693="","",IF(OR(A693&lt;TaxStart,A693&gt;TaxEnd),"Outside tax year",IF(A693&lt;DATE(YEAR(TaxStart),7,6),"Q1",IF(A693&lt;DATE(YEAR(TaxStart),10,6),"Q2",IF(A693&lt;DATE(YEAR(TaxStart)+1,1,6),"Q3","Q4")))))</f>
        <v/>
      </c>
    </row>
    <row r="694">
      <c r="A694" s="8" t="n"/>
      <c r="B694" s="13" t="n"/>
      <c r="C694" s="13" t="n"/>
      <c r="D694" s="11" t="n"/>
      <c r="E694" s="7">
        <f>IF(A694="","",IF(OR(A694&lt;TaxStart,A694&gt;TaxEnd),"Outside tax year",IF(A694&lt;DATE(YEAR(TaxStart),7,6),"Q1",IF(A694&lt;DATE(YEAR(TaxStart),10,6),"Q2",IF(A694&lt;DATE(YEAR(TaxStart)+1,1,6),"Q3","Q4")))))</f>
        <v/>
      </c>
    </row>
    <row r="695">
      <c r="A695" s="8" t="n"/>
      <c r="B695" s="13" t="n"/>
      <c r="C695" s="13" t="n"/>
      <c r="D695" s="11" t="n"/>
      <c r="E695" s="7">
        <f>IF(A695="","",IF(OR(A695&lt;TaxStart,A695&gt;TaxEnd),"Outside tax year",IF(A695&lt;DATE(YEAR(TaxStart),7,6),"Q1",IF(A695&lt;DATE(YEAR(TaxStart),10,6),"Q2",IF(A695&lt;DATE(YEAR(TaxStart)+1,1,6),"Q3","Q4")))))</f>
        <v/>
      </c>
    </row>
    <row r="696">
      <c r="A696" s="8" t="n"/>
      <c r="B696" s="13" t="n"/>
      <c r="C696" s="13" t="n"/>
      <c r="D696" s="11" t="n"/>
      <c r="E696" s="7">
        <f>IF(A696="","",IF(OR(A696&lt;TaxStart,A696&gt;TaxEnd),"Outside tax year",IF(A696&lt;DATE(YEAR(TaxStart),7,6),"Q1",IF(A696&lt;DATE(YEAR(TaxStart),10,6),"Q2",IF(A696&lt;DATE(YEAR(TaxStart)+1,1,6),"Q3","Q4")))))</f>
        <v/>
      </c>
    </row>
    <row r="697">
      <c r="A697" s="8" t="n"/>
      <c r="B697" s="13" t="n"/>
      <c r="C697" s="13" t="n"/>
      <c r="D697" s="11" t="n"/>
      <c r="E697" s="7">
        <f>IF(A697="","",IF(OR(A697&lt;TaxStart,A697&gt;TaxEnd),"Outside tax year",IF(A697&lt;DATE(YEAR(TaxStart),7,6),"Q1",IF(A697&lt;DATE(YEAR(TaxStart),10,6),"Q2",IF(A697&lt;DATE(YEAR(TaxStart)+1,1,6),"Q3","Q4")))))</f>
        <v/>
      </c>
    </row>
    <row r="698">
      <c r="A698" s="8" t="n"/>
      <c r="B698" s="13" t="n"/>
      <c r="C698" s="13" t="n"/>
      <c r="D698" s="11" t="n"/>
      <c r="E698" s="7">
        <f>IF(A698="","",IF(OR(A698&lt;TaxStart,A698&gt;TaxEnd),"Outside tax year",IF(A698&lt;DATE(YEAR(TaxStart),7,6),"Q1",IF(A698&lt;DATE(YEAR(TaxStart),10,6),"Q2",IF(A698&lt;DATE(YEAR(TaxStart)+1,1,6),"Q3","Q4")))))</f>
        <v/>
      </c>
    </row>
    <row r="699">
      <c r="A699" s="8" t="n"/>
      <c r="B699" s="13" t="n"/>
      <c r="C699" s="13" t="n"/>
      <c r="D699" s="11" t="n"/>
      <c r="E699" s="7">
        <f>IF(A699="","",IF(OR(A699&lt;TaxStart,A699&gt;TaxEnd),"Outside tax year",IF(A699&lt;DATE(YEAR(TaxStart),7,6),"Q1",IF(A699&lt;DATE(YEAR(TaxStart),10,6),"Q2",IF(A699&lt;DATE(YEAR(TaxStart)+1,1,6),"Q3","Q4")))))</f>
        <v/>
      </c>
    </row>
    <row r="700">
      <c r="A700" s="8" t="n"/>
      <c r="B700" s="13" t="n"/>
      <c r="C700" s="13" t="n"/>
      <c r="D700" s="11" t="n"/>
      <c r="E700" s="7">
        <f>IF(A700="","",IF(OR(A700&lt;TaxStart,A700&gt;TaxEnd),"Outside tax year",IF(A700&lt;DATE(YEAR(TaxStart),7,6),"Q1",IF(A700&lt;DATE(YEAR(TaxStart),10,6),"Q2",IF(A700&lt;DATE(YEAR(TaxStart)+1,1,6),"Q3","Q4")))))</f>
        <v/>
      </c>
    </row>
    <row r="701">
      <c r="A701" s="8" t="n"/>
      <c r="B701" s="13" t="n"/>
      <c r="C701" s="13" t="n"/>
      <c r="D701" s="11" t="n"/>
      <c r="E701" s="7">
        <f>IF(A701="","",IF(OR(A701&lt;TaxStart,A701&gt;TaxEnd),"Outside tax year",IF(A701&lt;DATE(YEAR(TaxStart),7,6),"Q1",IF(A701&lt;DATE(YEAR(TaxStart),10,6),"Q2",IF(A701&lt;DATE(YEAR(TaxStart)+1,1,6),"Q3","Q4")))))</f>
        <v/>
      </c>
    </row>
    <row r="702">
      <c r="A702" s="8" t="n"/>
      <c r="B702" s="13" t="n"/>
      <c r="C702" s="13" t="n"/>
      <c r="D702" s="11" t="n"/>
      <c r="E702" s="7">
        <f>IF(A702="","",IF(OR(A702&lt;TaxStart,A702&gt;TaxEnd),"Outside tax year",IF(A702&lt;DATE(YEAR(TaxStart),7,6),"Q1",IF(A702&lt;DATE(YEAR(TaxStart),10,6),"Q2",IF(A702&lt;DATE(YEAR(TaxStart)+1,1,6),"Q3","Q4")))))</f>
        <v/>
      </c>
    </row>
    <row r="703">
      <c r="A703" s="8" t="n"/>
      <c r="B703" s="13" t="n"/>
      <c r="C703" s="13" t="n"/>
      <c r="D703" s="11" t="n"/>
      <c r="E703" s="7">
        <f>IF(A703="","",IF(OR(A703&lt;TaxStart,A703&gt;TaxEnd),"Outside tax year",IF(A703&lt;DATE(YEAR(TaxStart),7,6),"Q1",IF(A703&lt;DATE(YEAR(TaxStart),10,6),"Q2",IF(A703&lt;DATE(YEAR(TaxStart)+1,1,6),"Q3","Q4")))))</f>
        <v/>
      </c>
    </row>
    <row r="704">
      <c r="A704" s="8" t="n"/>
      <c r="B704" s="13" t="n"/>
      <c r="C704" s="13" t="n"/>
      <c r="D704" s="11" t="n"/>
      <c r="E704" s="7">
        <f>IF(A704="","",IF(OR(A704&lt;TaxStart,A704&gt;TaxEnd),"Outside tax year",IF(A704&lt;DATE(YEAR(TaxStart),7,6),"Q1",IF(A704&lt;DATE(YEAR(TaxStart),10,6),"Q2",IF(A704&lt;DATE(YEAR(TaxStart)+1,1,6),"Q3","Q4")))))</f>
        <v/>
      </c>
    </row>
    <row r="705">
      <c r="A705" s="8" t="n"/>
      <c r="B705" s="13" t="n"/>
      <c r="C705" s="13" t="n"/>
      <c r="D705" s="11" t="n"/>
      <c r="E705" s="7">
        <f>IF(A705="","",IF(OR(A705&lt;TaxStart,A705&gt;TaxEnd),"Outside tax year",IF(A705&lt;DATE(YEAR(TaxStart),7,6),"Q1",IF(A705&lt;DATE(YEAR(TaxStart),10,6),"Q2",IF(A705&lt;DATE(YEAR(TaxStart)+1,1,6),"Q3","Q4")))))</f>
        <v/>
      </c>
    </row>
    <row r="706">
      <c r="A706" s="8" t="n"/>
      <c r="B706" s="13" t="n"/>
      <c r="C706" s="13" t="n"/>
      <c r="D706" s="11" t="n"/>
      <c r="E706" s="7">
        <f>IF(A706="","",IF(OR(A706&lt;TaxStart,A706&gt;TaxEnd),"Outside tax year",IF(A706&lt;DATE(YEAR(TaxStart),7,6),"Q1",IF(A706&lt;DATE(YEAR(TaxStart),10,6),"Q2",IF(A706&lt;DATE(YEAR(TaxStart)+1,1,6),"Q3","Q4")))))</f>
        <v/>
      </c>
    </row>
    <row r="707">
      <c r="A707" s="8" t="n"/>
      <c r="B707" s="13" t="n"/>
      <c r="C707" s="13" t="n"/>
      <c r="D707" s="11" t="n"/>
      <c r="E707" s="7">
        <f>IF(A707="","",IF(OR(A707&lt;TaxStart,A707&gt;TaxEnd),"Outside tax year",IF(A707&lt;DATE(YEAR(TaxStart),7,6),"Q1",IF(A707&lt;DATE(YEAR(TaxStart),10,6),"Q2",IF(A707&lt;DATE(YEAR(TaxStart)+1,1,6),"Q3","Q4")))))</f>
        <v/>
      </c>
    </row>
    <row r="708">
      <c r="A708" s="8" t="n"/>
      <c r="B708" s="13" t="n"/>
      <c r="C708" s="13" t="n"/>
      <c r="D708" s="11" t="n"/>
      <c r="E708" s="7">
        <f>IF(A708="","",IF(OR(A708&lt;TaxStart,A708&gt;TaxEnd),"Outside tax year",IF(A708&lt;DATE(YEAR(TaxStart),7,6),"Q1",IF(A708&lt;DATE(YEAR(TaxStart),10,6),"Q2",IF(A708&lt;DATE(YEAR(TaxStart)+1,1,6),"Q3","Q4")))))</f>
        <v/>
      </c>
    </row>
    <row r="709">
      <c r="A709" s="8" t="n"/>
      <c r="B709" s="13" t="n"/>
      <c r="C709" s="13" t="n"/>
      <c r="D709" s="11" t="n"/>
      <c r="E709" s="7">
        <f>IF(A709="","",IF(OR(A709&lt;TaxStart,A709&gt;TaxEnd),"Outside tax year",IF(A709&lt;DATE(YEAR(TaxStart),7,6),"Q1",IF(A709&lt;DATE(YEAR(TaxStart),10,6),"Q2",IF(A709&lt;DATE(YEAR(TaxStart)+1,1,6),"Q3","Q4")))))</f>
        <v/>
      </c>
    </row>
    <row r="710">
      <c r="A710" s="8" t="n"/>
      <c r="B710" s="13" t="n"/>
      <c r="C710" s="13" t="n"/>
      <c r="D710" s="11" t="n"/>
      <c r="E710" s="7">
        <f>IF(A710="","",IF(OR(A710&lt;TaxStart,A710&gt;TaxEnd),"Outside tax year",IF(A710&lt;DATE(YEAR(TaxStart),7,6),"Q1",IF(A710&lt;DATE(YEAR(TaxStart),10,6),"Q2",IF(A710&lt;DATE(YEAR(TaxStart)+1,1,6),"Q3","Q4")))))</f>
        <v/>
      </c>
    </row>
    <row r="711">
      <c r="A711" s="8" t="n"/>
      <c r="B711" s="13" t="n"/>
      <c r="C711" s="13" t="n"/>
      <c r="D711" s="11" t="n"/>
      <c r="E711" s="7">
        <f>IF(A711="","",IF(OR(A711&lt;TaxStart,A711&gt;TaxEnd),"Outside tax year",IF(A711&lt;DATE(YEAR(TaxStart),7,6),"Q1",IF(A711&lt;DATE(YEAR(TaxStart),10,6),"Q2",IF(A711&lt;DATE(YEAR(TaxStart)+1,1,6),"Q3","Q4")))))</f>
        <v/>
      </c>
    </row>
    <row r="712">
      <c r="A712" s="8" t="n"/>
      <c r="B712" s="13" t="n"/>
      <c r="C712" s="13" t="n"/>
      <c r="D712" s="11" t="n"/>
      <c r="E712" s="7">
        <f>IF(A712="","",IF(OR(A712&lt;TaxStart,A712&gt;TaxEnd),"Outside tax year",IF(A712&lt;DATE(YEAR(TaxStart),7,6),"Q1",IF(A712&lt;DATE(YEAR(TaxStart),10,6),"Q2",IF(A712&lt;DATE(YEAR(TaxStart)+1,1,6),"Q3","Q4")))))</f>
        <v/>
      </c>
    </row>
    <row r="713">
      <c r="A713" s="8" t="n"/>
      <c r="B713" s="13" t="n"/>
      <c r="C713" s="13" t="n"/>
      <c r="D713" s="11" t="n"/>
      <c r="E713" s="7">
        <f>IF(A713="","",IF(OR(A713&lt;TaxStart,A713&gt;TaxEnd),"Outside tax year",IF(A713&lt;DATE(YEAR(TaxStart),7,6),"Q1",IF(A713&lt;DATE(YEAR(TaxStart),10,6),"Q2",IF(A713&lt;DATE(YEAR(TaxStart)+1,1,6),"Q3","Q4")))))</f>
        <v/>
      </c>
    </row>
    <row r="714">
      <c r="A714" s="8" t="n"/>
      <c r="B714" s="13" t="n"/>
      <c r="C714" s="13" t="n"/>
      <c r="D714" s="11" t="n"/>
      <c r="E714" s="7">
        <f>IF(A714="","",IF(OR(A714&lt;TaxStart,A714&gt;TaxEnd),"Outside tax year",IF(A714&lt;DATE(YEAR(TaxStart),7,6),"Q1",IF(A714&lt;DATE(YEAR(TaxStart),10,6),"Q2",IF(A714&lt;DATE(YEAR(TaxStart)+1,1,6),"Q3","Q4")))))</f>
        <v/>
      </c>
    </row>
    <row r="715">
      <c r="A715" s="8" t="n"/>
      <c r="B715" s="13" t="n"/>
      <c r="C715" s="13" t="n"/>
      <c r="D715" s="11" t="n"/>
      <c r="E715" s="7">
        <f>IF(A715="","",IF(OR(A715&lt;TaxStart,A715&gt;TaxEnd),"Outside tax year",IF(A715&lt;DATE(YEAR(TaxStart),7,6),"Q1",IF(A715&lt;DATE(YEAR(TaxStart),10,6),"Q2",IF(A715&lt;DATE(YEAR(TaxStart)+1,1,6),"Q3","Q4")))))</f>
        <v/>
      </c>
    </row>
    <row r="716">
      <c r="A716" s="8" t="n"/>
      <c r="B716" s="13" t="n"/>
      <c r="C716" s="13" t="n"/>
      <c r="D716" s="11" t="n"/>
      <c r="E716" s="7">
        <f>IF(A716="","",IF(OR(A716&lt;TaxStart,A716&gt;TaxEnd),"Outside tax year",IF(A716&lt;DATE(YEAR(TaxStart),7,6),"Q1",IF(A716&lt;DATE(YEAR(TaxStart),10,6),"Q2",IF(A716&lt;DATE(YEAR(TaxStart)+1,1,6),"Q3","Q4")))))</f>
        <v/>
      </c>
    </row>
    <row r="717">
      <c r="A717" s="8" t="n"/>
      <c r="B717" s="13" t="n"/>
      <c r="C717" s="13" t="n"/>
      <c r="D717" s="11" t="n"/>
      <c r="E717" s="7">
        <f>IF(A717="","",IF(OR(A717&lt;TaxStart,A717&gt;TaxEnd),"Outside tax year",IF(A717&lt;DATE(YEAR(TaxStart),7,6),"Q1",IF(A717&lt;DATE(YEAR(TaxStart),10,6),"Q2",IF(A717&lt;DATE(YEAR(TaxStart)+1,1,6),"Q3","Q4")))))</f>
        <v/>
      </c>
    </row>
    <row r="718">
      <c r="A718" s="8" t="n"/>
      <c r="B718" s="13" t="n"/>
      <c r="C718" s="13" t="n"/>
      <c r="D718" s="11" t="n"/>
      <c r="E718" s="7">
        <f>IF(A718="","",IF(OR(A718&lt;TaxStart,A718&gt;TaxEnd),"Outside tax year",IF(A718&lt;DATE(YEAR(TaxStart),7,6),"Q1",IF(A718&lt;DATE(YEAR(TaxStart),10,6),"Q2",IF(A718&lt;DATE(YEAR(TaxStart)+1,1,6),"Q3","Q4")))))</f>
        <v/>
      </c>
    </row>
    <row r="719">
      <c r="A719" s="8" t="n"/>
      <c r="B719" s="13" t="n"/>
      <c r="C719" s="13" t="n"/>
      <c r="D719" s="11" t="n"/>
      <c r="E719" s="7">
        <f>IF(A719="","",IF(OR(A719&lt;TaxStart,A719&gt;TaxEnd),"Outside tax year",IF(A719&lt;DATE(YEAR(TaxStart),7,6),"Q1",IF(A719&lt;DATE(YEAR(TaxStart),10,6),"Q2",IF(A719&lt;DATE(YEAR(TaxStart)+1,1,6),"Q3","Q4")))))</f>
        <v/>
      </c>
    </row>
    <row r="720">
      <c r="A720" s="8" t="n"/>
      <c r="B720" s="13" t="n"/>
      <c r="C720" s="13" t="n"/>
      <c r="D720" s="11" t="n"/>
      <c r="E720" s="7">
        <f>IF(A720="","",IF(OR(A720&lt;TaxStart,A720&gt;TaxEnd),"Outside tax year",IF(A720&lt;DATE(YEAR(TaxStart),7,6),"Q1",IF(A720&lt;DATE(YEAR(TaxStart),10,6),"Q2",IF(A720&lt;DATE(YEAR(TaxStart)+1,1,6),"Q3","Q4")))))</f>
        <v/>
      </c>
    </row>
    <row r="721">
      <c r="A721" s="8" t="n"/>
      <c r="B721" s="13" t="n"/>
      <c r="C721" s="13" t="n"/>
      <c r="D721" s="11" t="n"/>
      <c r="E721" s="7">
        <f>IF(A721="","",IF(OR(A721&lt;TaxStart,A721&gt;TaxEnd),"Outside tax year",IF(A721&lt;DATE(YEAR(TaxStart),7,6),"Q1",IF(A721&lt;DATE(YEAR(TaxStart),10,6),"Q2",IF(A721&lt;DATE(YEAR(TaxStart)+1,1,6),"Q3","Q4")))))</f>
        <v/>
      </c>
    </row>
    <row r="722">
      <c r="A722" s="8" t="n"/>
      <c r="B722" s="13" t="n"/>
      <c r="C722" s="13" t="n"/>
      <c r="D722" s="11" t="n"/>
      <c r="E722" s="7">
        <f>IF(A722="","",IF(OR(A722&lt;TaxStart,A722&gt;TaxEnd),"Outside tax year",IF(A722&lt;DATE(YEAR(TaxStart),7,6),"Q1",IF(A722&lt;DATE(YEAR(TaxStart),10,6),"Q2",IF(A722&lt;DATE(YEAR(TaxStart)+1,1,6),"Q3","Q4")))))</f>
        <v/>
      </c>
    </row>
    <row r="723">
      <c r="A723" s="8" t="n"/>
      <c r="B723" s="13" t="n"/>
      <c r="C723" s="13" t="n"/>
      <c r="D723" s="11" t="n"/>
      <c r="E723" s="7">
        <f>IF(A723="","",IF(OR(A723&lt;TaxStart,A723&gt;TaxEnd),"Outside tax year",IF(A723&lt;DATE(YEAR(TaxStart),7,6),"Q1",IF(A723&lt;DATE(YEAR(TaxStart),10,6),"Q2",IF(A723&lt;DATE(YEAR(TaxStart)+1,1,6),"Q3","Q4")))))</f>
        <v/>
      </c>
    </row>
    <row r="724">
      <c r="A724" s="8" t="n"/>
      <c r="B724" s="13" t="n"/>
      <c r="C724" s="13" t="n"/>
      <c r="D724" s="11" t="n"/>
      <c r="E724" s="7">
        <f>IF(A724="","",IF(OR(A724&lt;TaxStart,A724&gt;TaxEnd),"Outside tax year",IF(A724&lt;DATE(YEAR(TaxStart),7,6),"Q1",IF(A724&lt;DATE(YEAR(TaxStart),10,6),"Q2",IF(A724&lt;DATE(YEAR(TaxStart)+1,1,6),"Q3","Q4")))))</f>
        <v/>
      </c>
    </row>
    <row r="725">
      <c r="A725" s="8" t="n"/>
      <c r="B725" s="13" t="n"/>
      <c r="C725" s="13" t="n"/>
      <c r="D725" s="11" t="n"/>
      <c r="E725" s="7">
        <f>IF(A725="","",IF(OR(A725&lt;TaxStart,A725&gt;TaxEnd),"Outside tax year",IF(A725&lt;DATE(YEAR(TaxStart),7,6),"Q1",IF(A725&lt;DATE(YEAR(TaxStart),10,6),"Q2",IF(A725&lt;DATE(YEAR(TaxStart)+1,1,6),"Q3","Q4")))))</f>
        <v/>
      </c>
    </row>
    <row r="726">
      <c r="A726" s="8" t="n"/>
      <c r="B726" s="13" t="n"/>
      <c r="C726" s="13" t="n"/>
      <c r="D726" s="11" t="n"/>
      <c r="E726" s="7">
        <f>IF(A726="","",IF(OR(A726&lt;TaxStart,A726&gt;TaxEnd),"Outside tax year",IF(A726&lt;DATE(YEAR(TaxStart),7,6),"Q1",IF(A726&lt;DATE(YEAR(TaxStart),10,6),"Q2",IF(A726&lt;DATE(YEAR(TaxStart)+1,1,6),"Q3","Q4")))))</f>
        <v/>
      </c>
    </row>
    <row r="727">
      <c r="A727" s="8" t="n"/>
      <c r="B727" s="13" t="n"/>
      <c r="C727" s="13" t="n"/>
      <c r="D727" s="11" t="n"/>
      <c r="E727" s="7">
        <f>IF(A727="","",IF(OR(A727&lt;TaxStart,A727&gt;TaxEnd),"Outside tax year",IF(A727&lt;DATE(YEAR(TaxStart),7,6),"Q1",IF(A727&lt;DATE(YEAR(TaxStart),10,6),"Q2",IF(A727&lt;DATE(YEAR(TaxStart)+1,1,6),"Q3","Q4")))))</f>
        <v/>
      </c>
    </row>
    <row r="728">
      <c r="A728" s="8" t="n"/>
      <c r="B728" s="13" t="n"/>
      <c r="C728" s="13" t="n"/>
      <c r="D728" s="11" t="n"/>
      <c r="E728" s="7">
        <f>IF(A728="","",IF(OR(A728&lt;TaxStart,A728&gt;TaxEnd),"Outside tax year",IF(A728&lt;DATE(YEAR(TaxStart),7,6),"Q1",IF(A728&lt;DATE(YEAR(TaxStart),10,6),"Q2",IF(A728&lt;DATE(YEAR(TaxStart)+1,1,6),"Q3","Q4")))))</f>
        <v/>
      </c>
    </row>
    <row r="729">
      <c r="A729" s="8" t="n"/>
      <c r="B729" s="13" t="n"/>
      <c r="C729" s="13" t="n"/>
      <c r="D729" s="11" t="n"/>
      <c r="E729" s="7">
        <f>IF(A729="","",IF(OR(A729&lt;TaxStart,A729&gt;TaxEnd),"Outside tax year",IF(A729&lt;DATE(YEAR(TaxStart),7,6),"Q1",IF(A729&lt;DATE(YEAR(TaxStart),10,6),"Q2",IF(A729&lt;DATE(YEAR(TaxStart)+1,1,6),"Q3","Q4")))))</f>
        <v/>
      </c>
    </row>
    <row r="730">
      <c r="A730" s="8" t="n"/>
      <c r="B730" s="13" t="n"/>
      <c r="C730" s="13" t="n"/>
      <c r="D730" s="11" t="n"/>
      <c r="E730" s="7">
        <f>IF(A730="","",IF(OR(A730&lt;TaxStart,A730&gt;TaxEnd),"Outside tax year",IF(A730&lt;DATE(YEAR(TaxStart),7,6),"Q1",IF(A730&lt;DATE(YEAR(TaxStart),10,6),"Q2",IF(A730&lt;DATE(YEAR(TaxStart)+1,1,6),"Q3","Q4")))))</f>
        <v/>
      </c>
    </row>
    <row r="731">
      <c r="A731" s="8" t="n"/>
      <c r="B731" s="13" t="n"/>
      <c r="C731" s="13" t="n"/>
      <c r="D731" s="11" t="n"/>
      <c r="E731" s="7">
        <f>IF(A731="","",IF(OR(A731&lt;TaxStart,A731&gt;TaxEnd),"Outside tax year",IF(A731&lt;DATE(YEAR(TaxStart),7,6),"Q1",IF(A731&lt;DATE(YEAR(TaxStart),10,6),"Q2",IF(A731&lt;DATE(YEAR(TaxStart)+1,1,6),"Q3","Q4")))))</f>
        <v/>
      </c>
    </row>
    <row r="732">
      <c r="A732" s="8" t="n"/>
      <c r="B732" s="13" t="n"/>
      <c r="C732" s="13" t="n"/>
      <c r="D732" s="11" t="n"/>
      <c r="E732" s="7">
        <f>IF(A732="","",IF(OR(A732&lt;TaxStart,A732&gt;TaxEnd),"Outside tax year",IF(A732&lt;DATE(YEAR(TaxStart),7,6),"Q1",IF(A732&lt;DATE(YEAR(TaxStart),10,6),"Q2",IF(A732&lt;DATE(YEAR(TaxStart)+1,1,6),"Q3","Q4")))))</f>
        <v/>
      </c>
    </row>
    <row r="733">
      <c r="A733" s="8" t="n"/>
      <c r="B733" s="13" t="n"/>
      <c r="C733" s="13" t="n"/>
      <c r="D733" s="11" t="n"/>
      <c r="E733" s="7">
        <f>IF(A733="","",IF(OR(A733&lt;TaxStart,A733&gt;TaxEnd),"Outside tax year",IF(A733&lt;DATE(YEAR(TaxStart),7,6),"Q1",IF(A733&lt;DATE(YEAR(TaxStart),10,6),"Q2",IF(A733&lt;DATE(YEAR(TaxStart)+1,1,6),"Q3","Q4")))))</f>
        <v/>
      </c>
    </row>
    <row r="734">
      <c r="A734" s="8" t="n"/>
      <c r="B734" s="13" t="n"/>
      <c r="C734" s="13" t="n"/>
      <c r="D734" s="11" t="n"/>
      <c r="E734" s="7">
        <f>IF(A734="","",IF(OR(A734&lt;TaxStart,A734&gt;TaxEnd),"Outside tax year",IF(A734&lt;DATE(YEAR(TaxStart),7,6),"Q1",IF(A734&lt;DATE(YEAR(TaxStart),10,6),"Q2",IF(A734&lt;DATE(YEAR(TaxStart)+1,1,6),"Q3","Q4")))))</f>
        <v/>
      </c>
    </row>
    <row r="735">
      <c r="A735" s="8" t="n"/>
      <c r="B735" s="13" t="n"/>
      <c r="C735" s="13" t="n"/>
      <c r="D735" s="11" t="n"/>
      <c r="E735" s="7">
        <f>IF(A735="","",IF(OR(A735&lt;TaxStart,A735&gt;TaxEnd),"Outside tax year",IF(A735&lt;DATE(YEAR(TaxStart),7,6),"Q1",IF(A735&lt;DATE(YEAR(TaxStart),10,6),"Q2",IF(A735&lt;DATE(YEAR(TaxStart)+1,1,6),"Q3","Q4")))))</f>
        <v/>
      </c>
    </row>
    <row r="736">
      <c r="A736" s="8" t="n"/>
      <c r="B736" s="13" t="n"/>
      <c r="C736" s="13" t="n"/>
      <c r="D736" s="11" t="n"/>
      <c r="E736" s="7">
        <f>IF(A736="","",IF(OR(A736&lt;TaxStart,A736&gt;TaxEnd),"Outside tax year",IF(A736&lt;DATE(YEAR(TaxStart),7,6),"Q1",IF(A736&lt;DATE(YEAR(TaxStart),10,6),"Q2",IF(A736&lt;DATE(YEAR(TaxStart)+1,1,6),"Q3","Q4")))))</f>
        <v/>
      </c>
    </row>
    <row r="737">
      <c r="A737" s="8" t="n"/>
      <c r="B737" s="13" t="n"/>
      <c r="C737" s="13" t="n"/>
      <c r="D737" s="11" t="n"/>
      <c r="E737" s="7">
        <f>IF(A737="","",IF(OR(A737&lt;TaxStart,A737&gt;TaxEnd),"Outside tax year",IF(A737&lt;DATE(YEAR(TaxStart),7,6),"Q1",IF(A737&lt;DATE(YEAR(TaxStart),10,6),"Q2",IF(A737&lt;DATE(YEAR(TaxStart)+1,1,6),"Q3","Q4")))))</f>
        <v/>
      </c>
    </row>
    <row r="738">
      <c r="A738" s="8" t="n"/>
      <c r="B738" s="13" t="n"/>
      <c r="C738" s="13" t="n"/>
      <c r="D738" s="11" t="n"/>
      <c r="E738" s="7">
        <f>IF(A738="","",IF(OR(A738&lt;TaxStart,A738&gt;TaxEnd),"Outside tax year",IF(A738&lt;DATE(YEAR(TaxStart),7,6),"Q1",IF(A738&lt;DATE(YEAR(TaxStart),10,6),"Q2",IF(A738&lt;DATE(YEAR(TaxStart)+1,1,6),"Q3","Q4")))))</f>
        <v/>
      </c>
    </row>
    <row r="739">
      <c r="A739" s="8" t="n"/>
      <c r="B739" s="13" t="n"/>
      <c r="C739" s="13" t="n"/>
      <c r="D739" s="11" t="n"/>
      <c r="E739" s="7">
        <f>IF(A739="","",IF(OR(A739&lt;TaxStart,A739&gt;TaxEnd),"Outside tax year",IF(A739&lt;DATE(YEAR(TaxStart),7,6),"Q1",IF(A739&lt;DATE(YEAR(TaxStart),10,6),"Q2",IF(A739&lt;DATE(YEAR(TaxStart)+1,1,6),"Q3","Q4")))))</f>
        <v/>
      </c>
    </row>
    <row r="740">
      <c r="A740" s="8" t="n"/>
      <c r="B740" s="13" t="n"/>
      <c r="C740" s="13" t="n"/>
      <c r="D740" s="11" t="n"/>
      <c r="E740" s="7">
        <f>IF(A740="","",IF(OR(A740&lt;TaxStart,A740&gt;TaxEnd),"Outside tax year",IF(A740&lt;DATE(YEAR(TaxStart),7,6),"Q1",IF(A740&lt;DATE(YEAR(TaxStart),10,6),"Q2",IF(A740&lt;DATE(YEAR(TaxStart)+1,1,6),"Q3","Q4")))))</f>
        <v/>
      </c>
    </row>
    <row r="741">
      <c r="A741" s="8" t="n"/>
      <c r="B741" s="13" t="n"/>
      <c r="C741" s="13" t="n"/>
      <c r="D741" s="11" t="n"/>
      <c r="E741" s="7">
        <f>IF(A741="","",IF(OR(A741&lt;TaxStart,A741&gt;TaxEnd),"Outside tax year",IF(A741&lt;DATE(YEAR(TaxStart),7,6),"Q1",IF(A741&lt;DATE(YEAR(TaxStart),10,6),"Q2",IF(A741&lt;DATE(YEAR(TaxStart)+1,1,6),"Q3","Q4")))))</f>
        <v/>
      </c>
    </row>
    <row r="742">
      <c r="A742" s="8" t="n"/>
      <c r="B742" s="13" t="n"/>
      <c r="C742" s="13" t="n"/>
      <c r="D742" s="11" t="n"/>
      <c r="E742" s="7">
        <f>IF(A742="","",IF(OR(A742&lt;TaxStart,A742&gt;TaxEnd),"Outside tax year",IF(A742&lt;DATE(YEAR(TaxStart),7,6),"Q1",IF(A742&lt;DATE(YEAR(TaxStart),10,6),"Q2",IF(A742&lt;DATE(YEAR(TaxStart)+1,1,6),"Q3","Q4")))))</f>
        <v/>
      </c>
    </row>
    <row r="743">
      <c r="A743" s="8" t="n"/>
      <c r="B743" s="13" t="n"/>
      <c r="C743" s="13" t="n"/>
      <c r="D743" s="11" t="n"/>
      <c r="E743" s="7">
        <f>IF(A743="","",IF(OR(A743&lt;TaxStart,A743&gt;TaxEnd),"Outside tax year",IF(A743&lt;DATE(YEAR(TaxStart),7,6),"Q1",IF(A743&lt;DATE(YEAR(TaxStart),10,6),"Q2",IF(A743&lt;DATE(YEAR(TaxStart)+1,1,6),"Q3","Q4")))))</f>
        <v/>
      </c>
    </row>
    <row r="744">
      <c r="A744" s="8" t="n"/>
      <c r="B744" s="13" t="n"/>
      <c r="C744" s="13" t="n"/>
      <c r="D744" s="11" t="n"/>
      <c r="E744" s="7">
        <f>IF(A744="","",IF(OR(A744&lt;TaxStart,A744&gt;TaxEnd),"Outside tax year",IF(A744&lt;DATE(YEAR(TaxStart),7,6),"Q1",IF(A744&lt;DATE(YEAR(TaxStart),10,6),"Q2",IF(A744&lt;DATE(YEAR(TaxStart)+1,1,6),"Q3","Q4")))))</f>
        <v/>
      </c>
    </row>
    <row r="745">
      <c r="A745" s="8" t="n"/>
      <c r="B745" s="13" t="n"/>
      <c r="C745" s="13" t="n"/>
      <c r="D745" s="11" t="n"/>
      <c r="E745" s="7">
        <f>IF(A745="","",IF(OR(A745&lt;TaxStart,A745&gt;TaxEnd),"Outside tax year",IF(A745&lt;DATE(YEAR(TaxStart),7,6),"Q1",IF(A745&lt;DATE(YEAR(TaxStart),10,6),"Q2",IF(A745&lt;DATE(YEAR(TaxStart)+1,1,6),"Q3","Q4")))))</f>
        <v/>
      </c>
    </row>
    <row r="746">
      <c r="A746" s="8" t="n"/>
      <c r="B746" s="13" t="n"/>
      <c r="C746" s="13" t="n"/>
      <c r="D746" s="11" t="n"/>
      <c r="E746" s="7">
        <f>IF(A746="","",IF(OR(A746&lt;TaxStart,A746&gt;TaxEnd),"Outside tax year",IF(A746&lt;DATE(YEAR(TaxStart),7,6),"Q1",IF(A746&lt;DATE(YEAR(TaxStart),10,6),"Q2",IF(A746&lt;DATE(YEAR(TaxStart)+1,1,6),"Q3","Q4")))))</f>
        <v/>
      </c>
    </row>
    <row r="747">
      <c r="A747" s="8" t="n"/>
      <c r="B747" s="13" t="n"/>
      <c r="C747" s="13" t="n"/>
      <c r="D747" s="11" t="n"/>
      <c r="E747" s="7">
        <f>IF(A747="","",IF(OR(A747&lt;TaxStart,A747&gt;TaxEnd),"Outside tax year",IF(A747&lt;DATE(YEAR(TaxStart),7,6),"Q1",IF(A747&lt;DATE(YEAR(TaxStart),10,6),"Q2",IF(A747&lt;DATE(YEAR(TaxStart)+1,1,6),"Q3","Q4")))))</f>
        <v/>
      </c>
    </row>
    <row r="748">
      <c r="A748" s="8" t="n"/>
      <c r="B748" s="13" t="n"/>
      <c r="C748" s="13" t="n"/>
      <c r="D748" s="11" t="n"/>
      <c r="E748" s="7">
        <f>IF(A748="","",IF(OR(A748&lt;TaxStart,A748&gt;TaxEnd),"Outside tax year",IF(A748&lt;DATE(YEAR(TaxStart),7,6),"Q1",IF(A748&lt;DATE(YEAR(TaxStart),10,6),"Q2",IF(A748&lt;DATE(YEAR(TaxStart)+1,1,6),"Q3","Q4")))))</f>
        <v/>
      </c>
    </row>
    <row r="749">
      <c r="A749" s="8" t="n"/>
      <c r="B749" s="13" t="n"/>
      <c r="C749" s="13" t="n"/>
      <c r="D749" s="11" t="n"/>
      <c r="E749" s="7">
        <f>IF(A749="","",IF(OR(A749&lt;TaxStart,A749&gt;TaxEnd),"Outside tax year",IF(A749&lt;DATE(YEAR(TaxStart),7,6),"Q1",IF(A749&lt;DATE(YEAR(TaxStart),10,6),"Q2",IF(A749&lt;DATE(YEAR(TaxStart)+1,1,6),"Q3","Q4")))))</f>
        <v/>
      </c>
    </row>
    <row r="750">
      <c r="A750" s="8" t="n"/>
      <c r="B750" s="13" t="n"/>
      <c r="C750" s="13" t="n"/>
      <c r="D750" s="11" t="n"/>
      <c r="E750" s="7">
        <f>IF(A750="","",IF(OR(A750&lt;TaxStart,A750&gt;TaxEnd),"Outside tax year",IF(A750&lt;DATE(YEAR(TaxStart),7,6),"Q1",IF(A750&lt;DATE(YEAR(TaxStart),10,6),"Q2",IF(A750&lt;DATE(YEAR(TaxStart)+1,1,6),"Q3","Q4")))))</f>
        <v/>
      </c>
    </row>
    <row r="751">
      <c r="A751" s="8" t="n"/>
      <c r="B751" s="13" t="n"/>
      <c r="C751" s="13" t="n"/>
      <c r="D751" s="11" t="n"/>
      <c r="E751" s="7">
        <f>IF(A751="","",IF(OR(A751&lt;TaxStart,A751&gt;TaxEnd),"Outside tax year",IF(A751&lt;DATE(YEAR(TaxStart),7,6),"Q1",IF(A751&lt;DATE(YEAR(TaxStart),10,6),"Q2",IF(A751&lt;DATE(YEAR(TaxStart)+1,1,6),"Q3","Q4")))))</f>
        <v/>
      </c>
    </row>
    <row r="752">
      <c r="A752" s="8" t="n"/>
      <c r="B752" s="13" t="n"/>
      <c r="C752" s="13" t="n"/>
      <c r="D752" s="11" t="n"/>
      <c r="E752" s="7">
        <f>IF(A752="","",IF(OR(A752&lt;TaxStart,A752&gt;TaxEnd),"Outside tax year",IF(A752&lt;DATE(YEAR(TaxStart),7,6),"Q1",IF(A752&lt;DATE(YEAR(TaxStart),10,6),"Q2",IF(A752&lt;DATE(YEAR(TaxStart)+1,1,6),"Q3","Q4")))))</f>
        <v/>
      </c>
    </row>
    <row r="753">
      <c r="A753" s="8" t="n"/>
      <c r="B753" s="13" t="n"/>
      <c r="C753" s="13" t="n"/>
      <c r="D753" s="11" t="n"/>
      <c r="E753" s="7">
        <f>IF(A753="","",IF(OR(A753&lt;TaxStart,A753&gt;TaxEnd),"Outside tax year",IF(A753&lt;DATE(YEAR(TaxStart),7,6),"Q1",IF(A753&lt;DATE(YEAR(TaxStart),10,6),"Q2",IF(A753&lt;DATE(YEAR(TaxStart)+1,1,6),"Q3","Q4")))))</f>
        <v/>
      </c>
    </row>
    <row r="754">
      <c r="A754" s="8" t="n"/>
      <c r="B754" s="13" t="n"/>
      <c r="C754" s="13" t="n"/>
      <c r="D754" s="11" t="n"/>
      <c r="E754" s="7">
        <f>IF(A754="","",IF(OR(A754&lt;TaxStart,A754&gt;TaxEnd),"Outside tax year",IF(A754&lt;DATE(YEAR(TaxStart),7,6),"Q1",IF(A754&lt;DATE(YEAR(TaxStart),10,6),"Q2",IF(A754&lt;DATE(YEAR(TaxStart)+1,1,6),"Q3","Q4")))))</f>
        <v/>
      </c>
    </row>
    <row r="755">
      <c r="A755" s="8" t="n"/>
      <c r="B755" s="13" t="n"/>
      <c r="C755" s="13" t="n"/>
      <c r="D755" s="11" t="n"/>
      <c r="E755" s="7">
        <f>IF(A755="","",IF(OR(A755&lt;TaxStart,A755&gt;TaxEnd),"Outside tax year",IF(A755&lt;DATE(YEAR(TaxStart),7,6),"Q1",IF(A755&lt;DATE(YEAR(TaxStart),10,6),"Q2",IF(A755&lt;DATE(YEAR(TaxStart)+1,1,6),"Q3","Q4")))))</f>
        <v/>
      </c>
    </row>
    <row r="756">
      <c r="A756" s="8" t="n"/>
      <c r="B756" s="13" t="n"/>
      <c r="C756" s="13" t="n"/>
      <c r="D756" s="11" t="n"/>
      <c r="E756" s="7">
        <f>IF(A756="","",IF(OR(A756&lt;TaxStart,A756&gt;TaxEnd),"Outside tax year",IF(A756&lt;DATE(YEAR(TaxStart),7,6),"Q1",IF(A756&lt;DATE(YEAR(TaxStart),10,6),"Q2",IF(A756&lt;DATE(YEAR(TaxStart)+1,1,6),"Q3","Q4")))))</f>
        <v/>
      </c>
    </row>
    <row r="757">
      <c r="A757" s="8" t="n"/>
      <c r="B757" s="13" t="n"/>
      <c r="C757" s="13" t="n"/>
      <c r="D757" s="11" t="n"/>
      <c r="E757" s="7">
        <f>IF(A757="","",IF(OR(A757&lt;TaxStart,A757&gt;TaxEnd),"Outside tax year",IF(A757&lt;DATE(YEAR(TaxStart),7,6),"Q1",IF(A757&lt;DATE(YEAR(TaxStart),10,6),"Q2",IF(A757&lt;DATE(YEAR(TaxStart)+1,1,6),"Q3","Q4")))))</f>
        <v/>
      </c>
    </row>
    <row r="758">
      <c r="A758" s="8" t="n"/>
      <c r="B758" s="13" t="n"/>
      <c r="C758" s="13" t="n"/>
      <c r="D758" s="11" t="n"/>
      <c r="E758" s="7">
        <f>IF(A758="","",IF(OR(A758&lt;TaxStart,A758&gt;TaxEnd),"Outside tax year",IF(A758&lt;DATE(YEAR(TaxStart),7,6),"Q1",IF(A758&lt;DATE(YEAR(TaxStart),10,6),"Q2",IF(A758&lt;DATE(YEAR(TaxStart)+1,1,6),"Q3","Q4")))))</f>
        <v/>
      </c>
    </row>
    <row r="759">
      <c r="A759" s="8" t="n"/>
      <c r="B759" s="13" t="n"/>
      <c r="C759" s="13" t="n"/>
      <c r="D759" s="11" t="n"/>
      <c r="E759" s="7">
        <f>IF(A759="","",IF(OR(A759&lt;TaxStart,A759&gt;TaxEnd),"Outside tax year",IF(A759&lt;DATE(YEAR(TaxStart),7,6),"Q1",IF(A759&lt;DATE(YEAR(TaxStart),10,6),"Q2",IF(A759&lt;DATE(YEAR(TaxStart)+1,1,6),"Q3","Q4")))))</f>
        <v/>
      </c>
    </row>
    <row r="760">
      <c r="A760" s="8" t="n"/>
      <c r="B760" s="13" t="n"/>
      <c r="C760" s="13" t="n"/>
      <c r="D760" s="11" t="n"/>
      <c r="E760" s="7">
        <f>IF(A760="","",IF(OR(A760&lt;TaxStart,A760&gt;TaxEnd),"Outside tax year",IF(A760&lt;DATE(YEAR(TaxStart),7,6),"Q1",IF(A760&lt;DATE(YEAR(TaxStart),10,6),"Q2",IF(A760&lt;DATE(YEAR(TaxStart)+1,1,6),"Q3","Q4")))))</f>
        <v/>
      </c>
    </row>
    <row r="761">
      <c r="A761" s="8" t="n"/>
      <c r="B761" s="13" t="n"/>
      <c r="C761" s="13" t="n"/>
      <c r="D761" s="11" t="n"/>
      <c r="E761" s="7">
        <f>IF(A761="","",IF(OR(A761&lt;TaxStart,A761&gt;TaxEnd),"Outside tax year",IF(A761&lt;DATE(YEAR(TaxStart),7,6),"Q1",IF(A761&lt;DATE(YEAR(TaxStart),10,6),"Q2",IF(A761&lt;DATE(YEAR(TaxStart)+1,1,6),"Q3","Q4")))))</f>
        <v/>
      </c>
    </row>
    <row r="762">
      <c r="A762" s="8" t="n"/>
      <c r="B762" s="13" t="n"/>
      <c r="C762" s="13" t="n"/>
      <c r="D762" s="11" t="n"/>
      <c r="E762" s="7">
        <f>IF(A762="","",IF(OR(A762&lt;TaxStart,A762&gt;TaxEnd),"Outside tax year",IF(A762&lt;DATE(YEAR(TaxStart),7,6),"Q1",IF(A762&lt;DATE(YEAR(TaxStart),10,6),"Q2",IF(A762&lt;DATE(YEAR(TaxStart)+1,1,6),"Q3","Q4")))))</f>
        <v/>
      </c>
    </row>
    <row r="763">
      <c r="A763" s="8" t="n"/>
      <c r="B763" s="13" t="n"/>
      <c r="C763" s="13" t="n"/>
      <c r="D763" s="11" t="n"/>
      <c r="E763" s="7">
        <f>IF(A763="","",IF(OR(A763&lt;TaxStart,A763&gt;TaxEnd),"Outside tax year",IF(A763&lt;DATE(YEAR(TaxStart),7,6),"Q1",IF(A763&lt;DATE(YEAR(TaxStart),10,6),"Q2",IF(A763&lt;DATE(YEAR(TaxStart)+1,1,6),"Q3","Q4")))))</f>
        <v/>
      </c>
    </row>
    <row r="764">
      <c r="A764" s="8" t="n"/>
      <c r="B764" s="13" t="n"/>
      <c r="C764" s="13" t="n"/>
      <c r="D764" s="11" t="n"/>
      <c r="E764" s="7">
        <f>IF(A764="","",IF(OR(A764&lt;TaxStart,A764&gt;TaxEnd),"Outside tax year",IF(A764&lt;DATE(YEAR(TaxStart),7,6),"Q1",IF(A764&lt;DATE(YEAR(TaxStart),10,6),"Q2",IF(A764&lt;DATE(YEAR(TaxStart)+1,1,6),"Q3","Q4")))))</f>
        <v/>
      </c>
    </row>
    <row r="765">
      <c r="A765" s="8" t="n"/>
      <c r="B765" s="13" t="n"/>
      <c r="C765" s="13" t="n"/>
      <c r="D765" s="11" t="n"/>
      <c r="E765" s="7">
        <f>IF(A765="","",IF(OR(A765&lt;TaxStart,A765&gt;TaxEnd),"Outside tax year",IF(A765&lt;DATE(YEAR(TaxStart),7,6),"Q1",IF(A765&lt;DATE(YEAR(TaxStart),10,6),"Q2",IF(A765&lt;DATE(YEAR(TaxStart)+1,1,6),"Q3","Q4")))))</f>
        <v/>
      </c>
    </row>
    <row r="766">
      <c r="A766" s="8" t="n"/>
      <c r="B766" s="13" t="n"/>
      <c r="C766" s="13" t="n"/>
      <c r="D766" s="11" t="n"/>
      <c r="E766" s="7">
        <f>IF(A766="","",IF(OR(A766&lt;TaxStart,A766&gt;TaxEnd),"Outside tax year",IF(A766&lt;DATE(YEAR(TaxStart),7,6),"Q1",IF(A766&lt;DATE(YEAR(TaxStart),10,6),"Q2",IF(A766&lt;DATE(YEAR(TaxStart)+1,1,6),"Q3","Q4")))))</f>
        <v/>
      </c>
    </row>
    <row r="767">
      <c r="A767" s="8" t="n"/>
      <c r="B767" s="13" t="n"/>
      <c r="C767" s="13" t="n"/>
      <c r="D767" s="11" t="n"/>
      <c r="E767" s="7">
        <f>IF(A767="","",IF(OR(A767&lt;TaxStart,A767&gt;TaxEnd),"Outside tax year",IF(A767&lt;DATE(YEAR(TaxStart),7,6),"Q1",IF(A767&lt;DATE(YEAR(TaxStart),10,6),"Q2",IF(A767&lt;DATE(YEAR(TaxStart)+1,1,6),"Q3","Q4")))))</f>
        <v/>
      </c>
    </row>
    <row r="768">
      <c r="A768" s="8" t="n"/>
      <c r="B768" s="13" t="n"/>
      <c r="C768" s="13" t="n"/>
      <c r="D768" s="11" t="n"/>
      <c r="E768" s="7">
        <f>IF(A768="","",IF(OR(A768&lt;TaxStart,A768&gt;TaxEnd),"Outside tax year",IF(A768&lt;DATE(YEAR(TaxStart),7,6),"Q1",IF(A768&lt;DATE(YEAR(TaxStart),10,6),"Q2",IF(A768&lt;DATE(YEAR(TaxStart)+1,1,6),"Q3","Q4")))))</f>
        <v/>
      </c>
    </row>
    <row r="769">
      <c r="A769" s="8" t="n"/>
      <c r="B769" s="13" t="n"/>
      <c r="C769" s="13" t="n"/>
      <c r="D769" s="11" t="n"/>
      <c r="E769" s="7">
        <f>IF(A769="","",IF(OR(A769&lt;TaxStart,A769&gt;TaxEnd),"Outside tax year",IF(A769&lt;DATE(YEAR(TaxStart),7,6),"Q1",IF(A769&lt;DATE(YEAR(TaxStart),10,6),"Q2",IF(A769&lt;DATE(YEAR(TaxStart)+1,1,6),"Q3","Q4")))))</f>
        <v/>
      </c>
    </row>
    <row r="770">
      <c r="A770" s="8" t="n"/>
      <c r="B770" s="13" t="n"/>
      <c r="C770" s="13" t="n"/>
      <c r="D770" s="11" t="n"/>
      <c r="E770" s="7">
        <f>IF(A770="","",IF(OR(A770&lt;TaxStart,A770&gt;TaxEnd),"Outside tax year",IF(A770&lt;DATE(YEAR(TaxStart),7,6),"Q1",IF(A770&lt;DATE(YEAR(TaxStart),10,6),"Q2",IF(A770&lt;DATE(YEAR(TaxStart)+1,1,6),"Q3","Q4")))))</f>
        <v/>
      </c>
    </row>
    <row r="771">
      <c r="A771" s="8" t="n"/>
      <c r="B771" s="13" t="n"/>
      <c r="C771" s="13" t="n"/>
      <c r="D771" s="11" t="n"/>
      <c r="E771" s="7">
        <f>IF(A771="","",IF(OR(A771&lt;TaxStart,A771&gt;TaxEnd),"Outside tax year",IF(A771&lt;DATE(YEAR(TaxStart),7,6),"Q1",IF(A771&lt;DATE(YEAR(TaxStart),10,6),"Q2",IF(A771&lt;DATE(YEAR(TaxStart)+1,1,6),"Q3","Q4")))))</f>
        <v/>
      </c>
    </row>
    <row r="772">
      <c r="A772" s="8" t="n"/>
      <c r="B772" s="13" t="n"/>
      <c r="C772" s="13" t="n"/>
      <c r="D772" s="11" t="n"/>
      <c r="E772" s="7">
        <f>IF(A772="","",IF(OR(A772&lt;TaxStart,A772&gt;TaxEnd),"Outside tax year",IF(A772&lt;DATE(YEAR(TaxStart),7,6),"Q1",IF(A772&lt;DATE(YEAR(TaxStart),10,6),"Q2",IF(A772&lt;DATE(YEAR(TaxStart)+1,1,6),"Q3","Q4")))))</f>
        <v/>
      </c>
    </row>
    <row r="773">
      <c r="A773" s="8" t="n"/>
      <c r="B773" s="13" t="n"/>
      <c r="C773" s="13" t="n"/>
      <c r="D773" s="11" t="n"/>
      <c r="E773" s="7">
        <f>IF(A773="","",IF(OR(A773&lt;TaxStart,A773&gt;TaxEnd),"Outside tax year",IF(A773&lt;DATE(YEAR(TaxStart),7,6),"Q1",IF(A773&lt;DATE(YEAR(TaxStart),10,6),"Q2",IF(A773&lt;DATE(YEAR(TaxStart)+1,1,6),"Q3","Q4")))))</f>
        <v/>
      </c>
    </row>
    <row r="774">
      <c r="A774" s="8" t="n"/>
      <c r="B774" s="13" t="n"/>
      <c r="C774" s="13" t="n"/>
      <c r="D774" s="11" t="n"/>
      <c r="E774" s="7">
        <f>IF(A774="","",IF(OR(A774&lt;TaxStart,A774&gt;TaxEnd),"Outside tax year",IF(A774&lt;DATE(YEAR(TaxStart),7,6),"Q1",IF(A774&lt;DATE(YEAR(TaxStart),10,6),"Q2",IF(A774&lt;DATE(YEAR(TaxStart)+1,1,6),"Q3","Q4")))))</f>
        <v/>
      </c>
    </row>
    <row r="775">
      <c r="A775" s="8" t="n"/>
      <c r="B775" s="13" t="n"/>
      <c r="C775" s="13" t="n"/>
      <c r="D775" s="11" t="n"/>
      <c r="E775" s="7">
        <f>IF(A775="","",IF(OR(A775&lt;TaxStart,A775&gt;TaxEnd),"Outside tax year",IF(A775&lt;DATE(YEAR(TaxStart),7,6),"Q1",IF(A775&lt;DATE(YEAR(TaxStart),10,6),"Q2",IF(A775&lt;DATE(YEAR(TaxStart)+1,1,6),"Q3","Q4")))))</f>
        <v/>
      </c>
    </row>
    <row r="776">
      <c r="A776" s="8" t="n"/>
      <c r="B776" s="13" t="n"/>
      <c r="C776" s="13" t="n"/>
      <c r="D776" s="11" t="n"/>
      <c r="E776" s="7">
        <f>IF(A776="","",IF(OR(A776&lt;TaxStart,A776&gt;TaxEnd),"Outside tax year",IF(A776&lt;DATE(YEAR(TaxStart),7,6),"Q1",IF(A776&lt;DATE(YEAR(TaxStart),10,6),"Q2",IF(A776&lt;DATE(YEAR(TaxStart)+1,1,6),"Q3","Q4")))))</f>
        <v/>
      </c>
    </row>
    <row r="777">
      <c r="A777" s="8" t="n"/>
      <c r="B777" s="13" t="n"/>
      <c r="C777" s="13" t="n"/>
      <c r="D777" s="11" t="n"/>
      <c r="E777" s="7">
        <f>IF(A777="","",IF(OR(A777&lt;TaxStart,A777&gt;TaxEnd),"Outside tax year",IF(A777&lt;DATE(YEAR(TaxStart),7,6),"Q1",IF(A777&lt;DATE(YEAR(TaxStart),10,6),"Q2",IF(A777&lt;DATE(YEAR(TaxStart)+1,1,6),"Q3","Q4")))))</f>
        <v/>
      </c>
    </row>
    <row r="778">
      <c r="A778" s="8" t="n"/>
      <c r="B778" s="13" t="n"/>
      <c r="C778" s="13" t="n"/>
      <c r="D778" s="11" t="n"/>
      <c r="E778" s="7">
        <f>IF(A778="","",IF(OR(A778&lt;TaxStart,A778&gt;TaxEnd),"Outside tax year",IF(A778&lt;DATE(YEAR(TaxStart),7,6),"Q1",IF(A778&lt;DATE(YEAR(TaxStart),10,6),"Q2",IF(A778&lt;DATE(YEAR(TaxStart)+1,1,6),"Q3","Q4")))))</f>
        <v/>
      </c>
    </row>
    <row r="779">
      <c r="A779" s="8" t="n"/>
      <c r="B779" s="13" t="n"/>
      <c r="C779" s="13" t="n"/>
      <c r="D779" s="11" t="n"/>
      <c r="E779" s="7">
        <f>IF(A779="","",IF(OR(A779&lt;TaxStart,A779&gt;TaxEnd),"Outside tax year",IF(A779&lt;DATE(YEAR(TaxStart),7,6),"Q1",IF(A779&lt;DATE(YEAR(TaxStart),10,6),"Q2",IF(A779&lt;DATE(YEAR(TaxStart)+1,1,6),"Q3","Q4")))))</f>
        <v/>
      </c>
    </row>
    <row r="780">
      <c r="A780" s="8" t="n"/>
      <c r="B780" s="13" t="n"/>
      <c r="C780" s="13" t="n"/>
      <c r="D780" s="11" t="n"/>
      <c r="E780" s="7">
        <f>IF(A780="","",IF(OR(A780&lt;TaxStart,A780&gt;TaxEnd),"Outside tax year",IF(A780&lt;DATE(YEAR(TaxStart),7,6),"Q1",IF(A780&lt;DATE(YEAR(TaxStart),10,6),"Q2",IF(A780&lt;DATE(YEAR(TaxStart)+1,1,6),"Q3","Q4")))))</f>
        <v/>
      </c>
    </row>
    <row r="781">
      <c r="A781" s="8" t="n"/>
      <c r="B781" s="13" t="n"/>
      <c r="C781" s="13" t="n"/>
      <c r="D781" s="11" t="n"/>
      <c r="E781" s="7">
        <f>IF(A781="","",IF(OR(A781&lt;TaxStart,A781&gt;TaxEnd),"Outside tax year",IF(A781&lt;DATE(YEAR(TaxStart),7,6),"Q1",IF(A781&lt;DATE(YEAR(TaxStart),10,6),"Q2",IF(A781&lt;DATE(YEAR(TaxStart)+1,1,6),"Q3","Q4")))))</f>
        <v/>
      </c>
    </row>
    <row r="782">
      <c r="A782" s="8" t="n"/>
      <c r="B782" s="13" t="n"/>
      <c r="C782" s="13" t="n"/>
      <c r="D782" s="11" t="n"/>
      <c r="E782" s="7">
        <f>IF(A782="","",IF(OR(A782&lt;TaxStart,A782&gt;TaxEnd),"Outside tax year",IF(A782&lt;DATE(YEAR(TaxStart),7,6),"Q1",IF(A782&lt;DATE(YEAR(TaxStart),10,6),"Q2",IF(A782&lt;DATE(YEAR(TaxStart)+1,1,6),"Q3","Q4")))))</f>
        <v/>
      </c>
    </row>
    <row r="783">
      <c r="A783" s="8" t="n"/>
      <c r="B783" s="13" t="n"/>
      <c r="C783" s="13" t="n"/>
      <c r="D783" s="11" t="n"/>
      <c r="E783" s="7">
        <f>IF(A783="","",IF(OR(A783&lt;TaxStart,A783&gt;TaxEnd),"Outside tax year",IF(A783&lt;DATE(YEAR(TaxStart),7,6),"Q1",IF(A783&lt;DATE(YEAR(TaxStart),10,6),"Q2",IF(A783&lt;DATE(YEAR(TaxStart)+1,1,6),"Q3","Q4")))))</f>
        <v/>
      </c>
    </row>
    <row r="784">
      <c r="A784" s="8" t="n"/>
      <c r="B784" s="13" t="n"/>
      <c r="C784" s="13" t="n"/>
      <c r="D784" s="11" t="n"/>
      <c r="E784" s="7">
        <f>IF(A784="","",IF(OR(A784&lt;TaxStart,A784&gt;TaxEnd),"Outside tax year",IF(A784&lt;DATE(YEAR(TaxStart),7,6),"Q1",IF(A784&lt;DATE(YEAR(TaxStart),10,6),"Q2",IF(A784&lt;DATE(YEAR(TaxStart)+1,1,6),"Q3","Q4")))))</f>
        <v/>
      </c>
    </row>
    <row r="785">
      <c r="A785" s="8" t="n"/>
      <c r="B785" s="13" t="n"/>
      <c r="C785" s="13" t="n"/>
      <c r="D785" s="11" t="n"/>
      <c r="E785" s="7">
        <f>IF(A785="","",IF(OR(A785&lt;TaxStart,A785&gt;TaxEnd),"Outside tax year",IF(A785&lt;DATE(YEAR(TaxStart),7,6),"Q1",IF(A785&lt;DATE(YEAR(TaxStart),10,6),"Q2",IF(A785&lt;DATE(YEAR(TaxStart)+1,1,6),"Q3","Q4")))))</f>
        <v/>
      </c>
    </row>
    <row r="786">
      <c r="A786" s="8" t="n"/>
      <c r="B786" s="13" t="n"/>
      <c r="C786" s="13" t="n"/>
      <c r="D786" s="11" t="n"/>
      <c r="E786" s="7">
        <f>IF(A786="","",IF(OR(A786&lt;TaxStart,A786&gt;TaxEnd),"Outside tax year",IF(A786&lt;DATE(YEAR(TaxStart),7,6),"Q1",IF(A786&lt;DATE(YEAR(TaxStart),10,6),"Q2",IF(A786&lt;DATE(YEAR(TaxStart)+1,1,6),"Q3","Q4")))))</f>
        <v/>
      </c>
    </row>
    <row r="787">
      <c r="A787" s="8" t="n"/>
      <c r="B787" s="13" t="n"/>
      <c r="C787" s="13" t="n"/>
      <c r="D787" s="11" t="n"/>
      <c r="E787" s="7">
        <f>IF(A787="","",IF(OR(A787&lt;TaxStart,A787&gt;TaxEnd),"Outside tax year",IF(A787&lt;DATE(YEAR(TaxStart),7,6),"Q1",IF(A787&lt;DATE(YEAR(TaxStart),10,6),"Q2",IF(A787&lt;DATE(YEAR(TaxStart)+1,1,6),"Q3","Q4")))))</f>
        <v/>
      </c>
    </row>
    <row r="788">
      <c r="A788" s="8" t="n"/>
      <c r="B788" s="13" t="n"/>
      <c r="C788" s="13" t="n"/>
      <c r="D788" s="11" t="n"/>
      <c r="E788" s="7">
        <f>IF(A788="","",IF(OR(A788&lt;TaxStart,A788&gt;TaxEnd),"Outside tax year",IF(A788&lt;DATE(YEAR(TaxStart),7,6),"Q1",IF(A788&lt;DATE(YEAR(TaxStart),10,6),"Q2",IF(A788&lt;DATE(YEAR(TaxStart)+1,1,6),"Q3","Q4")))))</f>
        <v/>
      </c>
    </row>
    <row r="789">
      <c r="A789" s="8" t="n"/>
      <c r="B789" s="13" t="n"/>
      <c r="C789" s="13" t="n"/>
      <c r="D789" s="11" t="n"/>
      <c r="E789" s="7">
        <f>IF(A789="","",IF(OR(A789&lt;TaxStart,A789&gt;TaxEnd),"Outside tax year",IF(A789&lt;DATE(YEAR(TaxStart),7,6),"Q1",IF(A789&lt;DATE(YEAR(TaxStart),10,6),"Q2",IF(A789&lt;DATE(YEAR(TaxStart)+1,1,6),"Q3","Q4")))))</f>
        <v/>
      </c>
    </row>
    <row r="790">
      <c r="A790" s="8" t="n"/>
      <c r="B790" s="13" t="n"/>
      <c r="C790" s="13" t="n"/>
      <c r="D790" s="11" t="n"/>
      <c r="E790" s="7">
        <f>IF(A790="","",IF(OR(A790&lt;TaxStart,A790&gt;TaxEnd),"Outside tax year",IF(A790&lt;DATE(YEAR(TaxStart),7,6),"Q1",IF(A790&lt;DATE(YEAR(TaxStart),10,6),"Q2",IF(A790&lt;DATE(YEAR(TaxStart)+1,1,6),"Q3","Q4")))))</f>
        <v/>
      </c>
    </row>
    <row r="791">
      <c r="A791" s="8" t="n"/>
      <c r="B791" s="13" t="n"/>
      <c r="C791" s="13" t="n"/>
      <c r="D791" s="11" t="n"/>
      <c r="E791" s="7">
        <f>IF(A791="","",IF(OR(A791&lt;TaxStart,A791&gt;TaxEnd),"Outside tax year",IF(A791&lt;DATE(YEAR(TaxStart),7,6),"Q1",IF(A791&lt;DATE(YEAR(TaxStart),10,6),"Q2",IF(A791&lt;DATE(YEAR(TaxStart)+1,1,6),"Q3","Q4")))))</f>
        <v/>
      </c>
    </row>
    <row r="792">
      <c r="A792" s="8" t="n"/>
      <c r="B792" s="13" t="n"/>
      <c r="C792" s="13" t="n"/>
      <c r="D792" s="11" t="n"/>
      <c r="E792" s="7">
        <f>IF(A792="","",IF(OR(A792&lt;TaxStart,A792&gt;TaxEnd),"Outside tax year",IF(A792&lt;DATE(YEAR(TaxStart),7,6),"Q1",IF(A792&lt;DATE(YEAR(TaxStart),10,6),"Q2",IF(A792&lt;DATE(YEAR(TaxStart)+1,1,6),"Q3","Q4")))))</f>
        <v/>
      </c>
    </row>
    <row r="793">
      <c r="A793" s="8" t="n"/>
      <c r="B793" s="13" t="n"/>
      <c r="C793" s="13" t="n"/>
      <c r="D793" s="11" t="n"/>
      <c r="E793" s="7">
        <f>IF(A793="","",IF(OR(A793&lt;TaxStart,A793&gt;TaxEnd),"Outside tax year",IF(A793&lt;DATE(YEAR(TaxStart),7,6),"Q1",IF(A793&lt;DATE(YEAR(TaxStart),10,6),"Q2",IF(A793&lt;DATE(YEAR(TaxStart)+1,1,6),"Q3","Q4")))))</f>
        <v/>
      </c>
    </row>
    <row r="794">
      <c r="A794" s="8" t="n"/>
      <c r="B794" s="13" t="n"/>
      <c r="C794" s="13" t="n"/>
      <c r="D794" s="11" t="n"/>
      <c r="E794" s="7">
        <f>IF(A794="","",IF(OR(A794&lt;TaxStart,A794&gt;TaxEnd),"Outside tax year",IF(A794&lt;DATE(YEAR(TaxStart),7,6),"Q1",IF(A794&lt;DATE(YEAR(TaxStart),10,6),"Q2",IF(A794&lt;DATE(YEAR(TaxStart)+1,1,6),"Q3","Q4")))))</f>
        <v/>
      </c>
    </row>
    <row r="795">
      <c r="A795" s="8" t="n"/>
      <c r="B795" s="13" t="n"/>
      <c r="C795" s="13" t="n"/>
      <c r="D795" s="11" t="n"/>
      <c r="E795" s="7">
        <f>IF(A795="","",IF(OR(A795&lt;TaxStart,A795&gt;TaxEnd),"Outside tax year",IF(A795&lt;DATE(YEAR(TaxStart),7,6),"Q1",IF(A795&lt;DATE(YEAR(TaxStart),10,6),"Q2",IF(A795&lt;DATE(YEAR(TaxStart)+1,1,6),"Q3","Q4")))))</f>
        <v/>
      </c>
    </row>
    <row r="796">
      <c r="A796" s="8" t="n"/>
      <c r="B796" s="13" t="n"/>
      <c r="C796" s="13" t="n"/>
      <c r="D796" s="11" t="n"/>
      <c r="E796" s="7">
        <f>IF(A796="","",IF(OR(A796&lt;TaxStart,A796&gt;TaxEnd),"Outside tax year",IF(A796&lt;DATE(YEAR(TaxStart),7,6),"Q1",IF(A796&lt;DATE(YEAR(TaxStart),10,6),"Q2",IF(A796&lt;DATE(YEAR(TaxStart)+1,1,6),"Q3","Q4")))))</f>
        <v/>
      </c>
    </row>
    <row r="797">
      <c r="A797" s="8" t="n"/>
      <c r="B797" s="13" t="n"/>
      <c r="C797" s="13" t="n"/>
      <c r="D797" s="11" t="n"/>
      <c r="E797" s="7">
        <f>IF(A797="","",IF(OR(A797&lt;TaxStart,A797&gt;TaxEnd),"Outside tax year",IF(A797&lt;DATE(YEAR(TaxStart),7,6),"Q1",IF(A797&lt;DATE(YEAR(TaxStart),10,6),"Q2",IF(A797&lt;DATE(YEAR(TaxStart)+1,1,6),"Q3","Q4")))))</f>
        <v/>
      </c>
    </row>
    <row r="798">
      <c r="A798" s="8" t="n"/>
      <c r="B798" s="13" t="n"/>
      <c r="C798" s="13" t="n"/>
      <c r="D798" s="11" t="n"/>
      <c r="E798" s="7">
        <f>IF(A798="","",IF(OR(A798&lt;TaxStart,A798&gt;TaxEnd),"Outside tax year",IF(A798&lt;DATE(YEAR(TaxStart),7,6),"Q1",IF(A798&lt;DATE(YEAR(TaxStart),10,6),"Q2",IF(A798&lt;DATE(YEAR(TaxStart)+1,1,6),"Q3","Q4")))))</f>
        <v/>
      </c>
    </row>
    <row r="799">
      <c r="A799" s="8" t="n"/>
      <c r="B799" s="13" t="n"/>
      <c r="C799" s="13" t="n"/>
      <c r="D799" s="11" t="n"/>
      <c r="E799" s="7">
        <f>IF(A799="","",IF(OR(A799&lt;TaxStart,A799&gt;TaxEnd),"Outside tax year",IF(A799&lt;DATE(YEAR(TaxStart),7,6),"Q1",IF(A799&lt;DATE(YEAR(TaxStart),10,6),"Q2",IF(A799&lt;DATE(YEAR(TaxStart)+1,1,6),"Q3","Q4")))))</f>
        <v/>
      </c>
    </row>
    <row r="800">
      <c r="A800" s="8" t="n"/>
      <c r="B800" s="13" t="n"/>
      <c r="C800" s="13" t="n"/>
      <c r="D800" s="11" t="n"/>
      <c r="E800" s="7">
        <f>IF(A800="","",IF(OR(A800&lt;TaxStart,A800&gt;TaxEnd),"Outside tax year",IF(A800&lt;DATE(YEAR(TaxStart),7,6),"Q1",IF(A800&lt;DATE(YEAR(TaxStart),10,6),"Q2",IF(A800&lt;DATE(YEAR(TaxStart)+1,1,6),"Q3","Q4")))))</f>
        <v/>
      </c>
    </row>
    <row r="801">
      <c r="A801" s="8" t="n"/>
      <c r="B801" s="13" t="n"/>
      <c r="C801" s="13" t="n"/>
      <c r="D801" s="11" t="n"/>
      <c r="E801" s="7">
        <f>IF(A801="","",IF(OR(A801&lt;TaxStart,A801&gt;TaxEnd),"Outside tax year",IF(A801&lt;DATE(YEAR(TaxStart),7,6),"Q1",IF(A801&lt;DATE(YEAR(TaxStart),10,6),"Q2",IF(A801&lt;DATE(YEAR(TaxStart)+1,1,6),"Q3","Q4")))))</f>
        <v/>
      </c>
    </row>
    <row r="802">
      <c r="A802" s="8" t="n"/>
      <c r="B802" s="13" t="n"/>
      <c r="C802" s="13" t="n"/>
      <c r="D802" s="11" t="n"/>
      <c r="E802" s="7">
        <f>IF(A802="","",IF(OR(A802&lt;TaxStart,A802&gt;TaxEnd),"Outside tax year",IF(A802&lt;DATE(YEAR(TaxStart),7,6),"Q1",IF(A802&lt;DATE(YEAR(TaxStart),10,6),"Q2",IF(A802&lt;DATE(YEAR(TaxStart)+1,1,6),"Q3","Q4")))))</f>
        <v/>
      </c>
    </row>
    <row r="803">
      <c r="A803" s="8" t="n"/>
      <c r="B803" s="13" t="n"/>
      <c r="C803" s="13" t="n"/>
      <c r="D803" s="11" t="n"/>
      <c r="E803" s="7">
        <f>IF(A803="","",IF(OR(A803&lt;TaxStart,A803&gt;TaxEnd),"Outside tax year",IF(A803&lt;DATE(YEAR(TaxStart),7,6),"Q1",IF(A803&lt;DATE(YEAR(TaxStart),10,6),"Q2",IF(A803&lt;DATE(YEAR(TaxStart)+1,1,6),"Q3","Q4")))))</f>
        <v/>
      </c>
    </row>
    <row r="804">
      <c r="A804" s="8" t="n"/>
      <c r="B804" s="13" t="n"/>
      <c r="C804" s="13" t="n"/>
      <c r="D804" s="11" t="n"/>
      <c r="E804" s="7">
        <f>IF(A804="","",IF(OR(A804&lt;TaxStart,A804&gt;TaxEnd),"Outside tax year",IF(A804&lt;DATE(YEAR(TaxStart),7,6),"Q1",IF(A804&lt;DATE(YEAR(TaxStart),10,6),"Q2",IF(A804&lt;DATE(YEAR(TaxStart)+1,1,6),"Q3","Q4")))))</f>
        <v/>
      </c>
    </row>
    <row r="805">
      <c r="A805" s="8" t="n"/>
      <c r="B805" s="13" t="n"/>
      <c r="C805" s="13" t="n"/>
      <c r="D805" s="11" t="n"/>
      <c r="E805" s="7">
        <f>IF(A805="","",IF(OR(A805&lt;TaxStart,A805&gt;TaxEnd),"Outside tax year",IF(A805&lt;DATE(YEAR(TaxStart),7,6),"Q1",IF(A805&lt;DATE(YEAR(TaxStart),10,6),"Q2",IF(A805&lt;DATE(YEAR(TaxStart)+1,1,6),"Q3","Q4")))))</f>
        <v/>
      </c>
    </row>
    <row r="806">
      <c r="A806" s="8" t="n"/>
      <c r="B806" s="13" t="n"/>
      <c r="C806" s="13" t="n"/>
      <c r="D806" s="11" t="n"/>
      <c r="E806" s="7">
        <f>IF(A806="","",IF(OR(A806&lt;TaxStart,A806&gt;TaxEnd),"Outside tax year",IF(A806&lt;DATE(YEAR(TaxStart),7,6),"Q1",IF(A806&lt;DATE(YEAR(TaxStart),10,6),"Q2",IF(A806&lt;DATE(YEAR(TaxStart)+1,1,6),"Q3","Q4")))))</f>
        <v/>
      </c>
    </row>
    <row r="807">
      <c r="A807" s="8" t="n"/>
      <c r="B807" s="13" t="n"/>
      <c r="C807" s="13" t="n"/>
      <c r="D807" s="11" t="n"/>
      <c r="E807" s="7">
        <f>IF(A807="","",IF(OR(A807&lt;TaxStart,A807&gt;TaxEnd),"Outside tax year",IF(A807&lt;DATE(YEAR(TaxStart),7,6),"Q1",IF(A807&lt;DATE(YEAR(TaxStart),10,6),"Q2",IF(A807&lt;DATE(YEAR(TaxStart)+1,1,6),"Q3","Q4")))))</f>
        <v/>
      </c>
    </row>
    <row r="808">
      <c r="A808" s="8" t="n"/>
      <c r="B808" s="13" t="n"/>
      <c r="C808" s="13" t="n"/>
      <c r="D808" s="11" t="n"/>
      <c r="E808" s="7">
        <f>IF(A808="","",IF(OR(A808&lt;TaxStart,A808&gt;TaxEnd),"Outside tax year",IF(A808&lt;DATE(YEAR(TaxStart),7,6),"Q1",IF(A808&lt;DATE(YEAR(TaxStart),10,6),"Q2",IF(A808&lt;DATE(YEAR(TaxStart)+1,1,6),"Q3","Q4")))))</f>
        <v/>
      </c>
    </row>
    <row r="809">
      <c r="A809" s="8" t="n"/>
      <c r="B809" s="13" t="n"/>
      <c r="C809" s="13" t="n"/>
      <c r="D809" s="11" t="n"/>
      <c r="E809" s="7">
        <f>IF(A809="","",IF(OR(A809&lt;TaxStart,A809&gt;TaxEnd),"Outside tax year",IF(A809&lt;DATE(YEAR(TaxStart),7,6),"Q1",IF(A809&lt;DATE(YEAR(TaxStart),10,6),"Q2",IF(A809&lt;DATE(YEAR(TaxStart)+1,1,6),"Q3","Q4")))))</f>
        <v/>
      </c>
    </row>
    <row r="810">
      <c r="A810" s="8" t="n"/>
      <c r="B810" s="13" t="n"/>
      <c r="C810" s="13" t="n"/>
      <c r="D810" s="11" t="n"/>
      <c r="E810" s="7">
        <f>IF(A810="","",IF(OR(A810&lt;TaxStart,A810&gt;TaxEnd),"Outside tax year",IF(A810&lt;DATE(YEAR(TaxStart),7,6),"Q1",IF(A810&lt;DATE(YEAR(TaxStart),10,6),"Q2",IF(A810&lt;DATE(YEAR(TaxStart)+1,1,6),"Q3","Q4")))))</f>
        <v/>
      </c>
    </row>
    <row r="811">
      <c r="A811" s="8" t="n"/>
      <c r="B811" s="13" t="n"/>
      <c r="C811" s="13" t="n"/>
      <c r="D811" s="11" t="n"/>
      <c r="E811" s="7">
        <f>IF(A811="","",IF(OR(A811&lt;TaxStart,A811&gt;TaxEnd),"Outside tax year",IF(A811&lt;DATE(YEAR(TaxStart),7,6),"Q1",IF(A811&lt;DATE(YEAR(TaxStart),10,6),"Q2",IF(A811&lt;DATE(YEAR(TaxStart)+1,1,6),"Q3","Q4")))))</f>
        <v/>
      </c>
    </row>
    <row r="812">
      <c r="A812" s="8" t="n"/>
      <c r="B812" s="13" t="n"/>
      <c r="C812" s="13" t="n"/>
      <c r="D812" s="11" t="n"/>
      <c r="E812" s="7">
        <f>IF(A812="","",IF(OR(A812&lt;TaxStart,A812&gt;TaxEnd),"Outside tax year",IF(A812&lt;DATE(YEAR(TaxStart),7,6),"Q1",IF(A812&lt;DATE(YEAR(TaxStart),10,6),"Q2",IF(A812&lt;DATE(YEAR(TaxStart)+1,1,6),"Q3","Q4")))))</f>
        <v/>
      </c>
    </row>
    <row r="813">
      <c r="A813" s="8" t="n"/>
      <c r="B813" s="13" t="n"/>
      <c r="C813" s="13" t="n"/>
      <c r="D813" s="11" t="n"/>
      <c r="E813" s="7">
        <f>IF(A813="","",IF(OR(A813&lt;TaxStart,A813&gt;TaxEnd),"Outside tax year",IF(A813&lt;DATE(YEAR(TaxStart),7,6),"Q1",IF(A813&lt;DATE(YEAR(TaxStart),10,6),"Q2",IF(A813&lt;DATE(YEAR(TaxStart)+1,1,6),"Q3","Q4")))))</f>
        <v/>
      </c>
    </row>
    <row r="814">
      <c r="A814" s="8" t="n"/>
      <c r="B814" s="13" t="n"/>
      <c r="C814" s="13" t="n"/>
      <c r="D814" s="11" t="n"/>
      <c r="E814" s="7">
        <f>IF(A814="","",IF(OR(A814&lt;TaxStart,A814&gt;TaxEnd),"Outside tax year",IF(A814&lt;DATE(YEAR(TaxStart),7,6),"Q1",IF(A814&lt;DATE(YEAR(TaxStart),10,6),"Q2",IF(A814&lt;DATE(YEAR(TaxStart)+1,1,6),"Q3","Q4")))))</f>
        <v/>
      </c>
    </row>
    <row r="815">
      <c r="A815" s="8" t="n"/>
      <c r="B815" s="13" t="n"/>
      <c r="C815" s="13" t="n"/>
      <c r="D815" s="11" t="n"/>
      <c r="E815" s="7">
        <f>IF(A815="","",IF(OR(A815&lt;TaxStart,A815&gt;TaxEnd),"Outside tax year",IF(A815&lt;DATE(YEAR(TaxStart),7,6),"Q1",IF(A815&lt;DATE(YEAR(TaxStart),10,6),"Q2",IF(A815&lt;DATE(YEAR(TaxStart)+1,1,6),"Q3","Q4")))))</f>
        <v/>
      </c>
    </row>
    <row r="816">
      <c r="A816" s="8" t="n"/>
      <c r="B816" s="13" t="n"/>
      <c r="C816" s="13" t="n"/>
      <c r="D816" s="11" t="n"/>
      <c r="E816" s="7">
        <f>IF(A816="","",IF(OR(A816&lt;TaxStart,A816&gt;TaxEnd),"Outside tax year",IF(A816&lt;DATE(YEAR(TaxStart),7,6),"Q1",IF(A816&lt;DATE(YEAR(TaxStart),10,6),"Q2",IF(A816&lt;DATE(YEAR(TaxStart)+1,1,6),"Q3","Q4")))))</f>
        <v/>
      </c>
    </row>
    <row r="817">
      <c r="A817" s="8" t="n"/>
      <c r="B817" s="13" t="n"/>
      <c r="C817" s="13" t="n"/>
      <c r="D817" s="11" t="n"/>
      <c r="E817" s="7">
        <f>IF(A817="","",IF(OR(A817&lt;TaxStart,A817&gt;TaxEnd),"Outside tax year",IF(A817&lt;DATE(YEAR(TaxStart),7,6),"Q1",IF(A817&lt;DATE(YEAR(TaxStart),10,6),"Q2",IF(A817&lt;DATE(YEAR(TaxStart)+1,1,6),"Q3","Q4")))))</f>
        <v/>
      </c>
    </row>
    <row r="818">
      <c r="A818" s="8" t="n"/>
      <c r="B818" s="13" t="n"/>
      <c r="C818" s="13" t="n"/>
      <c r="D818" s="11" t="n"/>
      <c r="E818" s="7">
        <f>IF(A818="","",IF(OR(A818&lt;TaxStart,A818&gt;TaxEnd),"Outside tax year",IF(A818&lt;DATE(YEAR(TaxStart),7,6),"Q1",IF(A818&lt;DATE(YEAR(TaxStart),10,6),"Q2",IF(A818&lt;DATE(YEAR(TaxStart)+1,1,6),"Q3","Q4")))))</f>
        <v/>
      </c>
    </row>
    <row r="819">
      <c r="A819" s="8" t="n"/>
      <c r="B819" s="13" t="n"/>
      <c r="C819" s="13" t="n"/>
      <c r="D819" s="11" t="n"/>
      <c r="E819" s="7">
        <f>IF(A819="","",IF(OR(A819&lt;TaxStart,A819&gt;TaxEnd),"Outside tax year",IF(A819&lt;DATE(YEAR(TaxStart),7,6),"Q1",IF(A819&lt;DATE(YEAR(TaxStart),10,6),"Q2",IF(A819&lt;DATE(YEAR(TaxStart)+1,1,6),"Q3","Q4")))))</f>
        <v/>
      </c>
    </row>
    <row r="820">
      <c r="A820" s="8" t="n"/>
      <c r="B820" s="13" t="n"/>
      <c r="C820" s="13" t="n"/>
      <c r="D820" s="11" t="n"/>
      <c r="E820" s="7">
        <f>IF(A820="","",IF(OR(A820&lt;TaxStart,A820&gt;TaxEnd),"Outside tax year",IF(A820&lt;DATE(YEAR(TaxStart),7,6),"Q1",IF(A820&lt;DATE(YEAR(TaxStart),10,6),"Q2",IF(A820&lt;DATE(YEAR(TaxStart)+1,1,6),"Q3","Q4")))))</f>
        <v/>
      </c>
    </row>
    <row r="821">
      <c r="A821" s="8" t="n"/>
      <c r="B821" s="13" t="n"/>
      <c r="C821" s="13" t="n"/>
      <c r="D821" s="11" t="n"/>
      <c r="E821" s="7">
        <f>IF(A821="","",IF(OR(A821&lt;TaxStart,A821&gt;TaxEnd),"Outside tax year",IF(A821&lt;DATE(YEAR(TaxStart),7,6),"Q1",IF(A821&lt;DATE(YEAR(TaxStart),10,6),"Q2",IF(A821&lt;DATE(YEAR(TaxStart)+1,1,6),"Q3","Q4")))))</f>
        <v/>
      </c>
    </row>
    <row r="822">
      <c r="A822" s="8" t="n"/>
      <c r="B822" s="13" t="n"/>
      <c r="C822" s="13" t="n"/>
      <c r="D822" s="11" t="n"/>
      <c r="E822" s="7">
        <f>IF(A822="","",IF(OR(A822&lt;TaxStart,A822&gt;TaxEnd),"Outside tax year",IF(A822&lt;DATE(YEAR(TaxStart),7,6),"Q1",IF(A822&lt;DATE(YEAR(TaxStart),10,6),"Q2",IF(A822&lt;DATE(YEAR(TaxStart)+1,1,6),"Q3","Q4")))))</f>
        <v/>
      </c>
    </row>
    <row r="823">
      <c r="A823" s="8" t="n"/>
      <c r="B823" s="13" t="n"/>
      <c r="C823" s="13" t="n"/>
      <c r="D823" s="11" t="n"/>
      <c r="E823" s="7">
        <f>IF(A823="","",IF(OR(A823&lt;TaxStart,A823&gt;TaxEnd),"Outside tax year",IF(A823&lt;DATE(YEAR(TaxStart),7,6),"Q1",IF(A823&lt;DATE(YEAR(TaxStart),10,6),"Q2",IF(A823&lt;DATE(YEAR(TaxStart)+1,1,6),"Q3","Q4")))))</f>
        <v/>
      </c>
    </row>
    <row r="824">
      <c r="A824" s="8" t="n"/>
      <c r="B824" s="13" t="n"/>
      <c r="C824" s="13" t="n"/>
      <c r="D824" s="11" t="n"/>
      <c r="E824" s="7">
        <f>IF(A824="","",IF(OR(A824&lt;TaxStart,A824&gt;TaxEnd),"Outside tax year",IF(A824&lt;DATE(YEAR(TaxStart),7,6),"Q1",IF(A824&lt;DATE(YEAR(TaxStart),10,6),"Q2",IF(A824&lt;DATE(YEAR(TaxStart)+1,1,6),"Q3","Q4")))))</f>
        <v/>
      </c>
    </row>
    <row r="825">
      <c r="A825" s="8" t="n"/>
      <c r="B825" s="13" t="n"/>
      <c r="C825" s="13" t="n"/>
      <c r="D825" s="11" t="n"/>
      <c r="E825" s="7">
        <f>IF(A825="","",IF(OR(A825&lt;TaxStart,A825&gt;TaxEnd),"Outside tax year",IF(A825&lt;DATE(YEAR(TaxStart),7,6),"Q1",IF(A825&lt;DATE(YEAR(TaxStart),10,6),"Q2",IF(A825&lt;DATE(YEAR(TaxStart)+1,1,6),"Q3","Q4")))))</f>
        <v/>
      </c>
    </row>
    <row r="826">
      <c r="A826" s="8" t="n"/>
      <c r="B826" s="13" t="n"/>
      <c r="C826" s="13" t="n"/>
      <c r="D826" s="11" t="n"/>
      <c r="E826" s="7">
        <f>IF(A826="","",IF(OR(A826&lt;TaxStart,A826&gt;TaxEnd),"Outside tax year",IF(A826&lt;DATE(YEAR(TaxStart),7,6),"Q1",IF(A826&lt;DATE(YEAR(TaxStart),10,6),"Q2",IF(A826&lt;DATE(YEAR(TaxStart)+1,1,6),"Q3","Q4")))))</f>
        <v/>
      </c>
    </row>
    <row r="827">
      <c r="A827" s="8" t="n"/>
      <c r="B827" s="13" t="n"/>
      <c r="C827" s="13" t="n"/>
      <c r="D827" s="11" t="n"/>
      <c r="E827" s="7">
        <f>IF(A827="","",IF(OR(A827&lt;TaxStart,A827&gt;TaxEnd),"Outside tax year",IF(A827&lt;DATE(YEAR(TaxStart),7,6),"Q1",IF(A827&lt;DATE(YEAR(TaxStart),10,6),"Q2",IF(A827&lt;DATE(YEAR(TaxStart)+1,1,6),"Q3","Q4")))))</f>
        <v/>
      </c>
    </row>
    <row r="828">
      <c r="A828" s="8" t="n"/>
      <c r="B828" s="13" t="n"/>
      <c r="C828" s="13" t="n"/>
      <c r="D828" s="11" t="n"/>
      <c r="E828" s="7">
        <f>IF(A828="","",IF(OR(A828&lt;TaxStart,A828&gt;TaxEnd),"Outside tax year",IF(A828&lt;DATE(YEAR(TaxStart),7,6),"Q1",IF(A828&lt;DATE(YEAR(TaxStart),10,6),"Q2",IF(A828&lt;DATE(YEAR(TaxStart)+1,1,6),"Q3","Q4")))))</f>
        <v/>
      </c>
    </row>
    <row r="829">
      <c r="A829" s="8" t="n"/>
      <c r="B829" s="13" t="n"/>
      <c r="C829" s="13" t="n"/>
      <c r="D829" s="11" t="n"/>
      <c r="E829" s="7">
        <f>IF(A829="","",IF(OR(A829&lt;TaxStart,A829&gt;TaxEnd),"Outside tax year",IF(A829&lt;DATE(YEAR(TaxStart),7,6),"Q1",IF(A829&lt;DATE(YEAR(TaxStart),10,6),"Q2",IF(A829&lt;DATE(YEAR(TaxStart)+1,1,6),"Q3","Q4")))))</f>
        <v/>
      </c>
    </row>
    <row r="830">
      <c r="A830" s="8" t="n"/>
      <c r="B830" s="13" t="n"/>
      <c r="C830" s="13" t="n"/>
      <c r="D830" s="11" t="n"/>
      <c r="E830" s="7">
        <f>IF(A830="","",IF(OR(A830&lt;TaxStart,A830&gt;TaxEnd),"Outside tax year",IF(A830&lt;DATE(YEAR(TaxStart),7,6),"Q1",IF(A830&lt;DATE(YEAR(TaxStart),10,6),"Q2",IF(A830&lt;DATE(YEAR(TaxStart)+1,1,6),"Q3","Q4")))))</f>
        <v/>
      </c>
    </row>
    <row r="831">
      <c r="A831" s="8" t="n"/>
      <c r="B831" s="13" t="n"/>
      <c r="C831" s="13" t="n"/>
      <c r="D831" s="11" t="n"/>
      <c r="E831" s="7">
        <f>IF(A831="","",IF(OR(A831&lt;TaxStart,A831&gt;TaxEnd),"Outside tax year",IF(A831&lt;DATE(YEAR(TaxStart),7,6),"Q1",IF(A831&lt;DATE(YEAR(TaxStart),10,6),"Q2",IF(A831&lt;DATE(YEAR(TaxStart)+1,1,6),"Q3","Q4")))))</f>
        <v/>
      </c>
    </row>
    <row r="832">
      <c r="A832" s="8" t="n"/>
      <c r="B832" s="13" t="n"/>
      <c r="C832" s="13" t="n"/>
      <c r="D832" s="11" t="n"/>
      <c r="E832" s="7">
        <f>IF(A832="","",IF(OR(A832&lt;TaxStart,A832&gt;TaxEnd),"Outside tax year",IF(A832&lt;DATE(YEAR(TaxStart),7,6),"Q1",IF(A832&lt;DATE(YEAR(TaxStart),10,6),"Q2",IF(A832&lt;DATE(YEAR(TaxStart)+1,1,6),"Q3","Q4")))))</f>
        <v/>
      </c>
    </row>
    <row r="833">
      <c r="A833" s="8" t="n"/>
      <c r="B833" s="13" t="n"/>
      <c r="C833" s="13" t="n"/>
      <c r="D833" s="11" t="n"/>
      <c r="E833" s="7">
        <f>IF(A833="","",IF(OR(A833&lt;TaxStart,A833&gt;TaxEnd),"Outside tax year",IF(A833&lt;DATE(YEAR(TaxStart),7,6),"Q1",IF(A833&lt;DATE(YEAR(TaxStart),10,6),"Q2",IF(A833&lt;DATE(YEAR(TaxStart)+1,1,6),"Q3","Q4")))))</f>
        <v/>
      </c>
    </row>
    <row r="834">
      <c r="A834" s="8" t="n"/>
      <c r="B834" s="13" t="n"/>
      <c r="C834" s="13" t="n"/>
      <c r="D834" s="11" t="n"/>
      <c r="E834" s="7">
        <f>IF(A834="","",IF(OR(A834&lt;TaxStart,A834&gt;TaxEnd),"Outside tax year",IF(A834&lt;DATE(YEAR(TaxStart),7,6),"Q1",IF(A834&lt;DATE(YEAR(TaxStart),10,6),"Q2",IF(A834&lt;DATE(YEAR(TaxStart)+1,1,6),"Q3","Q4")))))</f>
        <v/>
      </c>
    </row>
    <row r="835">
      <c r="A835" s="8" t="n"/>
      <c r="B835" s="13" t="n"/>
      <c r="C835" s="13" t="n"/>
      <c r="D835" s="11" t="n"/>
      <c r="E835" s="7">
        <f>IF(A835="","",IF(OR(A835&lt;TaxStart,A835&gt;TaxEnd),"Outside tax year",IF(A835&lt;DATE(YEAR(TaxStart),7,6),"Q1",IF(A835&lt;DATE(YEAR(TaxStart),10,6),"Q2",IF(A835&lt;DATE(YEAR(TaxStart)+1,1,6),"Q3","Q4")))))</f>
        <v/>
      </c>
    </row>
    <row r="836">
      <c r="A836" s="8" t="n"/>
      <c r="B836" s="13" t="n"/>
      <c r="C836" s="13" t="n"/>
      <c r="D836" s="11" t="n"/>
      <c r="E836" s="7">
        <f>IF(A836="","",IF(OR(A836&lt;TaxStart,A836&gt;TaxEnd),"Outside tax year",IF(A836&lt;DATE(YEAR(TaxStart),7,6),"Q1",IF(A836&lt;DATE(YEAR(TaxStart),10,6),"Q2",IF(A836&lt;DATE(YEAR(TaxStart)+1,1,6),"Q3","Q4")))))</f>
        <v/>
      </c>
    </row>
    <row r="837">
      <c r="A837" s="8" t="n"/>
      <c r="B837" s="13" t="n"/>
      <c r="C837" s="13" t="n"/>
      <c r="D837" s="11" t="n"/>
      <c r="E837" s="7">
        <f>IF(A837="","",IF(OR(A837&lt;TaxStart,A837&gt;TaxEnd),"Outside tax year",IF(A837&lt;DATE(YEAR(TaxStart),7,6),"Q1",IF(A837&lt;DATE(YEAR(TaxStart),10,6),"Q2",IF(A837&lt;DATE(YEAR(TaxStart)+1,1,6),"Q3","Q4")))))</f>
        <v/>
      </c>
    </row>
    <row r="838">
      <c r="A838" s="8" t="n"/>
      <c r="B838" s="13" t="n"/>
      <c r="C838" s="13" t="n"/>
      <c r="D838" s="11" t="n"/>
      <c r="E838" s="7">
        <f>IF(A838="","",IF(OR(A838&lt;TaxStart,A838&gt;TaxEnd),"Outside tax year",IF(A838&lt;DATE(YEAR(TaxStart),7,6),"Q1",IF(A838&lt;DATE(YEAR(TaxStart),10,6),"Q2",IF(A838&lt;DATE(YEAR(TaxStart)+1,1,6),"Q3","Q4")))))</f>
        <v/>
      </c>
    </row>
    <row r="839">
      <c r="A839" s="8" t="n"/>
      <c r="B839" s="13" t="n"/>
      <c r="C839" s="13" t="n"/>
      <c r="D839" s="11" t="n"/>
      <c r="E839" s="7">
        <f>IF(A839="","",IF(OR(A839&lt;TaxStart,A839&gt;TaxEnd),"Outside tax year",IF(A839&lt;DATE(YEAR(TaxStart),7,6),"Q1",IF(A839&lt;DATE(YEAR(TaxStart),10,6),"Q2",IF(A839&lt;DATE(YEAR(TaxStart)+1,1,6),"Q3","Q4")))))</f>
        <v/>
      </c>
    </row>
    <row r="840">
      <c r="A840" s="8" t="n"/>
      <c r="B840" s="13" t="n"/>
      <c r="C840" s="13" t="n"/>
      <c r="D840" s="11" t="n"/>
      <c r="E840" s="7">
        <f>IF(A840="","",IF(OR(A840&lt;TaxStart,A840&gt;TaxEnd),"Outside tax year",IF(A840&lt;DATE(YEAR(TaxStart),7,6),"Q1",IF(A840&lt;DATE(YEAR(TaxStart),10,6),"Q2",IF(A840&lt;DATE(YEAR(TaxStart)+1,1,6),"Q3","Q4")))))</f>
        <v/>
      </c>
    </row>
    <row r="841">
      <c r="A841" s="8" t="n"/>
      <c r="B841" s="13" t="n"/>
      <c r="C841" s="13" t="n"/>
      <c r="D841" s="11" t="n"/>
      <c r="E841" s="7">
        <f>IF(A841="","",IF(OR(A841&lt;TaxStart,A841&gt;TaxEnd),"Outside tax year",IF(A841&lt;DATE(YEAR(TaxStart),7,6),"Q1",IF(A841&lt;DATE(YEAR(TaxStart),10,6),"Q2",IF(A841&lt;DATE(YEAR(TaxStart)+1,1,6),"Q3","Q4")))))</f>
        <v/>
      </c>
    </row>
    <row r="842">
      <c r="A842" s="8" t="n"/>
      <c r="B842" s="13" t="n"/>
      <c r="C842" s="13" t="n"/>
      <c r="D842" s="11" t="n"/>
      <c r="E842" s="7">
        <f>IF(A842="","",IF(OR(A842&lt;TaxStart,A842&gt;TaxEnd),"Outside tax year",IF(A842&lt;DATE(YEAR(TaxStart),7,6),"Q1",IF(A842&lt;DATE(YEAR(TaxStart),10,6),"Q2",IF(A842&lt;DATE(YEAR(TaxStart)+1,1,6),"Q3","Q4")))))</f>
        <v/>
      </c>
    </row>
    <row r="843">
      <c r="A843" s="8" t="n"/>
      <c r="B843" s="13" t="n"/>
      <c r="C843" s="13" t="n"/>
      <c r="D843" s="11" t="n"/>
      <c r="E843" s="7">
        <f>IF(A843="","",IF(OR(A843&lt;TaxStart,A843&gt;TaxEnd),"Outside tax year",IF(A843&lt;DATE(YEAR(TaxStart),7,6),"Q1",IF(A843&lt;DATE(YEAR(TaxStart),10,6),"Q2",IF(A843&lt;DATE(YEAR(TaxStart)+1,1,6),"Q3","Q4")))))</f>
        <v/>
      </c>
    </row>
    <row r="844">
      <c r="A844" s="8" t="n"/>
      <c r="B844" s="13" t="n"/>
      <c r="C844" s="13" t="n"/>
      <c r="D844" s="11" t="n"/>
      <c r="E844" s="7">
        <f>IF(A844="","",IF(OR(A844&lt;TaxStart,A844&gt;TaxEnd),"Outside tax year",IF(A844&lt;DATE(YEAR(TaxStart),7,6),"Q1",IF(A844&lt;DATE(YEAR(TaxStart),10,6),"Q2",IF(A844&lt;DATE(YEAR(TaxStart)+1,1,6),"Q3","Q4")))))</f>
        <v/>
      </c>
    </row>
    <row r="845">
      <c r="A845" s="8" t="n"/>
      <c r="B845" s="13" t="n"/>
      <c r="C845" s="13" t="n"/>
      <c r="D845" s="11" t="n"/>
      <c r="E845" s="7">
        <f>IF(A845="","",IF(OR(A845&lt;TaxStart,A845&gt;TaxEnd),"Outside tax year",IF(A845&lt;DATE(YEAR(TaxStart),7,6),"Q1",IF(A845&lt;DATE(YEAR(TaxStart),10,6),"Q2",IF(A845&lt;DATE(YEAR(TaxStart)+1,1,6),"Q3","Q4")))))</f>
        <v/>
      </c>
    </row>
    <row r="846">
      <c r="A846" s="8" t="n"/>
      <c r="B846" s="13" t="n"/>
      <c r="C846" s="13" t="n"/>
      <c r="D846" s="11" t="n"/>
      <c r="E846" s="7">
        <f>IF(A846="","",IF(OR(A846&lt;TaxStart,A846&gt;TaxEnd),"Outside tax year",IF(A846&lt;DATE(YEAR(TaxStart),7,6),"Q1",IF(A846&lt;DATE(YEAR(TaxStart),10,6),"Q2",IF(A846&lt;DATE(YEAR(TaxStart)+1,1,6),"Q3","Q4")))))</f>
        <v/>
      </c>
    </row>
    <row r="847">
      <c r="A847" s="8" t="n"/>
      <c r="B847" s="13" t="n"/>
      <c r="C847" s="13" t="n"/>
      <c r="D847" s="11" t="n"/>
      <c r="E847" s="7">
        <f>IF(A847="","",IF(OR(A847&lt;TaxStart,A847&gt;TaxEnd),"Outside tax year",IF(A847&lt;DATE(YEAR(TaxStart),7,6),"Q1",IF(A847&lt;DATE(YEAR(TaxStart),10,6),"Q2",IF(A847&lt;DATE(YEAR(TaxStart)+1,1,6),"Q3","Q4")))))</f>
        <v/>
      </c>
    </row>
    <row r="848">
      <c r="A848" s="8" t="n"/>
      <c r="B848" s="13" t="n"/>
      <c r="C848" s="13" t="n"/>
      <c r="D848" s="11" t="n"/>
      <c r="E848" s="7">
        <f>IF(A848="","",IF(OR(A848&lt;TaxStart,A848&gt;TaxEnd),"Outside tax year",IF(A848&lt;DATE(YEAR(TaxStart),7,6),"Q1",IF(A848&lt;DATE(YEAR(TaxStart),10,6),"Q2",IF(A848&lt;DATE(YEAR(TaxStart)+1,1,6),"Q3","Q4")))))</f>
        <v/>
      </c>
    </row>
    <row r="849">
      <c r="A849" s="8" t="n"/>
      <c r="B849" s="13" t="n"/>
      <c r="C849" s="13" t="n"/>
      <c r="D849" s="11" t="n"/>
      <c r="E849" s="7">
        <f>IF(A849="","",IF(OR(A849&lt;TaxStart,A849&gt;TaxEnd),"Outside tax year",IF(A849&lt;DATE(YEAR(TaxStart),7,6),"Q1",IF(A849&lt;DATE(YEAR(TaxStart),10,6),"Q2",IF(A849&lt;DATE(YEAR(TaxStart)+1,1,6),"Q3","Q4")))))</f>
        <v/>
      </c>
    </row>
    <row r="850">
      <c r="A850" s="8" t="n"/>
      <c r="B850" s="13" t="n"/>
      <c r="C850" s="13" t="n"/>
      <c r="D850" s="11" t="n"/>
      <c r="E850" s="7">
        <f>IF(A850="","",IF(OR(A850&lt;TaxStart,A850&gt;TaxEnd),"Outside tax year",IF(A850&lt;DATE(YEAR(TaxStart),7,6),"Q1",IF(A850&lt;DATE(YEAR(TaxStart),10,6),"Q2",IF(A850&lt;DATE(YEAR(TaxStart)+1,1,6),"Q3","Q4")))))</f>
        <v/>
      </c>
    </row>
    <row r="851">
      <c r="A851" s="8" t="n"/>
      <c r="B851" s="13" t="n"/>
      <c r="C851" s="13" t="n"/>
      <c r="D851" s="11" t="n"/>
      <c r="E851" s="7">
        <f>IF(A851="","",IF(OR(A851&lt;TaxStart,A851&gt;TaxEnd),"Outside tax year",IF(A851&lt;DATE(YEAR(TaxStart),7,6),"Q1",IF(A851&lt;DATE(YEAR(TaxStart),10,6),"Q2",IF(A851&lt;DATE(YEAR(TaxStart)+1,1,6),"Q3","Q4")))))</f>
        <v/>
      </c>
    </row>
    <row r="852">
      <c r="A852" s="8" t="n"/>
      <c r="B852" s="13" t="n"/>
      <c r="C852" s="13" t="n"/>
      <c r="D852" s="11" t="n"/>
      <c r="E852" s="7">
        <f>IF(A852="","",IF(OR(A852&lt;TaxStart,A852&gt;TaxEnd),"Outside tax year",IF(A852&lt;DATE(YEAR(TaxStart),7,6),"Q1",IF(A852&lt;DATE(YEAR(TaxStart),10,6),"Q2",IF(A852&lt;DATE(YEAR(TaxStart)+1,1,6),"Q3","Q4")))))</f>
        <v/>
      </c>
    </row>
    <row r="853">
      <c r="A853" s="8" t="n"/>
      <c r="B853" s="13" t="n"/>
      <c r="C853" s="13" t="n"/>
      <c r="D853" s="11" t="n"/>
      <c r="E853" s="7">
        <f>IF(A853="","",IF(OR(A853&lt;TaxStart,A853&gt;TaxEnd),"Outside tax year",IF(A853&lt;DATE(YEAR(TaxStart),7,6),"Q1",IF(A853&lt;DATE(YEAR(TaxStart),10,6),"Q2",IF(A853&lt;DATE(YEAR(TaxStart)+1,1,6),"Q3","Q4")))))</f>
        <v/>
      </c>
    </row>
    <row r="854">
      <c r="A854" s="8" t="n"/>
      <c r="B854" s="13" t="n"/>
      <c r="C854" s="13" t="n"/>
      <c r="D854" s="11" t="n"/>
      <c r="E854" s="7">
        <f>IF(A854="","",IF(OR(A854&lt;TaxStart,A854&gt;TaxEnd),"Outside tax year",IF(A854&lt;DATE(YEAR(TaxStart),7,6),"Q1",IF(A854&lt;DATE(YEAR(TaxStart),10,6),"Q2",IF(A854&lt;DATE(YEAR(TaxStart)+1,1,6),"Q3","Q4")))))</f>
        <v/>
      </c>
    </row>
    <row r="855">
      <c r="A855" s="8" t="n"/>
      <c r="B855" s="13" t="n"/>
      <c r="C855" s="13" t="n"/>
      <c r="D855" s="11" t="n"/>
      <c r="E855" s="7">
        <f>IF(A855="","",IF(OR(A855&lt;TaxStart,A855&gt;TaxEnd),"Outside tax year",IF(A855&lt;DATE(YEAR(TaxStart),7,6),"Q1",IF(A855&lt;DATE(YEAR(TaxStart),10,6),"Q2",IF(A855&lt;DATE(YEAR(TaxStart)+1,1,6),"Q3","Q4")))))</f>
        <v/>
      </c>
    </row>
    <row r="856">
      <c r="A856" s="8" t="n"/>
      <c r="B856" s="13" t="n"/>
      <c r="C856" s="13" t="n"/>
      <c r="D856" s="11" t="n"/>
      <c r="E856" s="7">
        <f>IF(A856="","",IF(OR(A856&lt;TaxStart,A856&gt;TaxEnd),"Outside tax year",IF(A856&lt;DATE(YEAR(TaxStart),7,6),"Q1",IF(A856&lt;DATE(YEAR(TaxStart),10,6),"Q2",IF(A856&lt;DATE(YEAR(TaxStart)+1,1,6),"Q3","Q4")))))</f>
        <v/>
      </c>
    </row>
    <row r="857">
      <c r="A857" s="8" t="n"/>
      <c r="B857" s="13" t="n"/>
      <c r="C857" s="13" t="n"/>
      <c r="D857" s="11" t="n"/>
      <c r="E857" s="7">
        <f>IF(A857="","",IF(OR(A857&lt;TaxStart,A857&gt;TaxEnd),"Outside tax year",IF(A857&lt;DATE(YEAR(TaxStart),7,6),"Q1",IF(A857&lt;DATE(YEAR(TaxStart),10,6),"Q2",IF(A857&lt;DATE(YEAR(TaxStart)+1,1,6),"Q3","Q4")))))</f>
        <v/>
      </c>
    </row>
    <row r="858">
      <c r="A858" s="8" t="n"/>
      <c r="B858" s="13" t="n"/>
      <c r="C858" s="13" t="n"/>
      <c r="D858" s="11" t="n"/>
      <c r="E858" s="7">
        <f>IF(A858="","",IF(OR(A858&lt;TaxStart,A858&gt;TaxEnd),"Outside tax year",IF(A858&lt;DATE(YEAR(TaxStart),7,6),"Q1",IF(A858&lt;DATE(YEAR(TaxStart),10,6),"Q2",IF(A858&lt;DATE(YEAR(TaxStart)+1,1,6),"Q3","Q4")))))</f>
        <v/>
      </c>
    </row>
    <row r="859">
      <c r="A859" s="8" t="n"/>
      <c r="B859" s="13" t="n"/>
      <c r="C859" s="13" t="n"/>
      <c r="D859" s="11" t="n"/>
      <c r="E859" s="7">
        <f>IF(A859="","",IF(OR(A859&lt;TaxStart,A859&gt;TaxEnd),"Outside tax year",IF(A859&lt;DATE(YEAR(TaxStart),7,6),"Q1",IF(A859&lt;DATE(YEAR(TaxStart),10,6),"Q2",IF(A859&lt;DATE(YEAR(TaxStart)+1,1,6),"Q3","Q4")))))</f>
        <v/>
      </c>
    </row>
    <row r="860">
      <c r="A860" s="8" t="n"/>
      <c r="B860" s="13" t="n"/>
      <c r="C860" s="13" t="n"/>
      <c r="D860" s="11" t="n"/>
      <c r="E860" s="7">
        <f>IF(A860="","",IF(OR(A860&lt;TaxStart,A860&gt;TaxEnd),"Outside tax year",IF(A860&lt;DATE(YEAR(TaxStart),7,6),"Q1",IF(A860&lt;DATE(YEAR(TaxStart),10,6),"Q2",IF(A860&lt;DATE(YEAR(TaxStart)+1,1,6),"Q3","Q4")))))</f>
        <v/>
      </c>
    </row>
    <row r="861">
      <c r="A861" s="8" t="n"/>
      <c r="B861" s="13" t="n"/>
      <c r="C861" s="13" t="n"/>
      <c r="D861" s="11" t="n"/>
      <c r="E861" s="7">
        <f>IF(A861="","",IF(OR(A861&lt;TaxStart,A861&gt;TaxEnd),"Outside tax year",IF(A861&lt;DATE(YEAR(TaxStart),7,6),"Q1",IF(A861&lt;DATE(YEAR(TaxStart),10,6),"Q2",IF(A861&lt;DATE(YEAR(TaxStart)+1,1,6),"Q3","Q4")))))</f>
        <v/>
      </c>
    </row>
    <row r="862">
      <c r="A862" s="8" t="n"/>
      <c r="B862" s="13" t="n"/>
      <c r="C862" s="13" t="n"/>
      <c r="D862" s="11" t="n"/>
      <c r="E862" s="7">
        <f>IF(A862="","",IF(OR(A862&lt;TaxStart,A862&gt;TaxEnd),"Outside tax year",IF(A862&lt;DATE(YEAR(TaxStart),7,6),"Q1",IF(A862&lt;DATE(YEAR(TaxStart),10,6),"Q2",IF(A862&lt;DATE(YEAR(TaxStart)+1,1,6),"Q3","Q4")))))</f>
        <v/>
      </c>
    </row>
    <row r="863">
      <c r="A863" s="8" t="n"/>
      <c r="B863" s="13" t="n"/>
      <c r="C863" s="13" t="n"/>
      <c r="D863" s="11" t="n"/>
      <c r="E863" s="7">
        <f>IF(A863="","",IF(OR(A863&lt;TaxStart,A863&gt;TaxEnd),"Outside tax year",IF(A863&lt;DATE(YEAR(TaxStart),7,6),"Q1",IF(A863&lt;DATE(YEAR(TaxStart),10,6),"Q2",IF(A863&lt;DATE(YEAR(TaxStart)+1,1,6),"Q3","Q4")))))</f>
        <v/>
      </c>
    </row>
    <row r="864">
      <c r="A864" s="8" t="n"/>
      <c r="B864" s="13" t="n"/>
      <c r="C864" s="13" t="n"/>
      <c r="D864" s="11" t="n"/>
      <c r="E864" s="7">
        <f>IF(A864="","",IF(OR(A864&lt;TaxStart,A864&gt;TaxEnd),"Outside tax year",IF(A864&lt;DATE(YEAR(TaxStart),7,6),"Q1",IF(A864&lt;DATE(YEAR(TaxStart),10,6),"Q2",IF(A864&lt;DATE(YEAR(TaxStart)+1,1,6),"Q3","Q4")))))</f>
        <v/>
      </c>
    </row>
    <row r="865">
      <c r="A865" s="8" t="n"/>
      <c r="B865" s="13" t="n"/>
      <c r="C865" s="13" t="n"/>
      <c r="D865" s="11" t="n"/>
      <c r="E865" s="7">
        <f>IF(A865="","",IF(OR(A865&lt;TaxStart,A865&gt;TaxEnd),"Outside tax year",IF(A865&lt;DATE(YEAR(TaxStart),7,6),"Q1",IF(A865&lt;DATE(YEAR(TaxStart),10,6),"Q2",IF(A865&lt;DATE(YEAR(TaxStart)+1,1,6),"Q3","Q4")))))</f>
        <v/>
      </c>
    </row>
    <row r="866">
      <c r="A866" s="8" t="n"/>
      <c r="B866" s="13" t="n"/>
      <c r="C866" s="13" t="n"/>
      <c r="D866" s="11" t="n"/>
      <c r="E866" s="7">
        <f>IF(A866="","",IF(OR(A866&lt;TaxStart,A866&gt;TaxEnd),"Outside tax year",IF(A866&lt;DATE(YEAR(TaxStart),7,6),"Q1",IF(A866&lt;DATE(YEAR(TaxStart),10,6),"Q2",IF(A866&lt;DATE(YEAR(TaxStart)+1,1,6),"Q3","Q4")))))</f>
        <v/>
      </c>
    </row>
    <row r="867">
      <c r="A867" s="8" t="n"/>
      <c r="B867" s="13" t="n"/>
      <c r="C867" s="13" t="n"/>
      <c r="D867" s="11" t="n"/>
      <c r="E867" s="7">
        <f>IF(A867="","",IF(OR(A867&lt;TaxStart,A867&gt;TaxEnd),"Outside tax year",IF(A867&lt;DATE(YEAR(TaxStart),7,6),"Q1",IF(A867&lt;DATE(YEAR(TaxStart),10,6),"Q2",IF(A867&lt;DATE(YEAR(TaxStart)+1,1,6),"Q3","Q4")))))</f>
        <v/>
      </c>
    </row>
    <row r="868">
      <c r="A868" s="8" t="n"/>
      <c r="B868" s="13" t="n"/>
      <c r="C868" s="13" t="n"/>
      <c r="D868" s="11" t="n"/>
      <c r="E868" s="7">
        <f>IF(A868="","",IF(OR(A868&lt;TaxStart,A868&gt;TaxEnd),"Outside tax year",IF(A868&lt;DATE(YEAR(TaxStart),7,6),"Q1",IF(A868&lt;DATE(YEAR(TaxStart),10,6),"Q2",IF(A868&lt;DATE(YEAR(TaxStart)+1,1,6),"Q3","Q4")))))</f>
        <v/>
      </c>
    </row>
    <row r="869">
      <c r="A869" s="8" t="n"/>
      <c r="B869" s="13" t="n"/>
      <c r="C869" s="13" t="n"/>
      <c r="D869" s="11" t="n"/>
      <c r="E869" s="7">
        <f>IF(A869="","",IF(OR(A869&lt;TaxStart,A869&gt;TaxEnd),"Outside tax year",IF(A869&lt;DATE(YEAR(TaxStart),7,6),"Q1",IF(A869&lt;DATE(YEAR(TaxStart),10,6),"Q2",IF(A869&lt;DATE(YEAR(TaxStart)+1,1,6),"Q3","Q4")))))</f>
        <v/>
      </c>
    </row>
    <row r="870">
      <c r="A870" s="8" t="n"/>
      <c r="B870" s="13" t="n"/>
      <c r="C870" s="13" t="n"/>
      <c r="D870" s="11" t="n"/>
      <c r="E870" s="7">
        <f>IF(A870="","",IF(OR(A870&lt;TaxStart,A870&gt;TaxEnd),"Outside tax year",IF(A870&lt;DATE(YEAR(TaxStart),7,6),"Q1",IF(A870&lt;DATE(YEAR(TaxStart),10,6),"Q2",IF(A870&lt;DATE(YEAR(TaxStart)+1,1,6),"Q3","Q4")))))</f>
        <v/>
      </c>
    </row>
    <row r="871">
      <c r="A871" s="8" t="n"/>
      <c r="B871" s="13" t="n"/>
      <c r="C871" s="13" t="n"/>
      <c r="D871" s="11" t="n"/>
      <c r="E871" s="7">
        <f>IF(A871="","",IF(OR(A871&lt;TaxStart,A871&gt;TaxEnd),"Outside tax year",IF(A871&lt;DATE(YEAR(TaxStart),7,6),"Q1",IF(A871&lt;DATE(YEAR(TaxStart),10,6),"Q2",IF(A871&lt;DATE(YEAR(TaxStart)+1,1,6),"Q3","Q4")))))</f>
        <v/>
      </c>
    </row>
    <row r="872">
      <c r="A872" s="8" t="n"/>
      <c r="B872" s="13" t="n"/>
      <c r="C872" s="13" t="n"/>
      <c r="D872" s="11" t="n"/>
      <c r="E872" s="7">
        <f>IF(A872="","",IF(OR(A872&lt;TaxStart,A872&gt;TaxEnd),"Outside tax year",IF(A872&lt;DATE(YEAR(TaxStart),7,6),"Q1",IF(A872&lt;DATE(YEAR(TaxStart),10,6),"Q2",IF(A872&lt;DATE(YEAR(TaxStart)+1,1,6),"Q3","Q4")))))</f>
        <v/>
      </c>
    </row>
    <row r="873">
      <c r="A873" s="8" t="n"/>
      <c r="B873" s="13" t="n"/>
      <c r="C873" s="13" t="n"/>
      <c r="D873" s="11" t="n"/>
      <c r="E873" s="7">
        <f>IF(A873="","",IF(OR(A873&lt;TaxStart,A873&gt;TaxEnd),"Outside tax year",IF(A873&lt;DATE(YEAR(TaxStart),7,6),"Q1",IF(A873&lt;DATE(YEAR(TaxStart),10,6),"Q2",IF(A873&lt;DATE(YEAR(TaxStart)+1,1,6),"Q3","Q4")))))</f>
        <v/>
      </c>
    </row>
    <row r="874">
      <c r="A874" s="8" t="n"/>
      <c r="B874" s="13" t="n"/>
      <c r="C874" s="13" t="n"/>
      <c r="D874" s="11" t="n"/>
      <c r="E874" s="7">
        <f>IF(A874="","",IF(OR(A874&lt;TaxStart,A874&gt;TaxEnd),"Outside tax year",IF(A874&lt;DATE(YEAR(TaxStart),7,6),"Q1",IF(A874&lt;DATE(YEAR(TaxStart),10,6),"Q2",IF(A874&lt;DATE(YEAR(TaxStart)+1,1,6),"Q3","Q4")))))</f>
        <v/>
      </c>
    </row>
    <row r="875">
      <c r="A875" s="8" t="n"/>
      <c r="B875" s="13" t="n"/>
      <c r="C875" s="13" t="n"/>
      <c r="D875" s="11" t="n"/>
      <c r="E875" s="7">
        <f>IF(A875="","",IF(OR(A875&lt;TaxStart,A875&gt;TaxEnd),"Outside tax year",IF(A875&lt;DATE(YEAR(TaxStart),7,6),"Q1",IF(A875&lt;DATE(YEAR(TaxStart),10,6),"Q2",IF(A875&lt;DATE(YEAR(TaxStart)+1,1,6),"Q3","Q4")))))</f>
        <v/>
      </c>
    </row>
    <row r="876">
      <c r="A876" s="8" t="n"/>
      <c r="B876" s="13" t="n"/>
      <c r="C876" s="13" t="n"/>
      <c r="D876" s="11" t="n"/>
      <c r="E876" s="7">
        <f>IF(A876="","",IF(OR(A876&lt;TaxStart,A876&gt;TaxEnd),"Outside tax year",IF(A876&lt;DATE(YEAR(TaxStart),7,6),"Q1",IF(A876&lt;DATE(YEAR(TaxStart),10,6),"Q2",IF(A876&lt;DATE(YEAR(TaxStart)+1,1,6),"Q3","Q4")))))</f>
        <v/>
      </c>
    </row>
    <row r="877">
      <c r="A877" s="8" t="n"/>
      <c r="B877" s="13" t="n"/>
      <c r="C877" s="13" t="n"/>
      <c r="D877" s="11" t="n"/>
      <c r="E877" s="7">
        <f>IF(A877="","",IF(OR(A877&lt;TaxStart,A877&gt;TaxEnd),"Outside tax year",IF(A877&lt;DATE(YEAR(TaxStart),7,6),"Q1",IF(A877&lt;DATE(YEAR(TaxStart),10,6),"Q2",IF(A877&lt;DATE(YEAR(TaxStart)+1,1,6),"Q3","Q4")))))</f>
        <v/>
      </c>
    </row>
    <row r="878">
      <c r="A878" s="8" t="n"/>
      <c r="B878" s="13" t="n"/>
      <c r="C878" s="13" t="n"/>
      <c r="D878" s="11" t="n"/>
      <c r="E878" s="7">
        <f>IF(A878="","",IF(OR(A878&lt;TaxStart,A878&gt;TaxEnd),"Outside tax year",IF(A878&lt;DATE(YEAR(TaxStart),7,6),"Q1",IF(A878&lt;DATE(YEAR(TaxStart),10,6),"Q2",IF(A878&lt;DATE(YEAR(TaxStart)+1,1,6),"Q3","Q4")))))</f>
        <v/>
      </c>
    </row>
    <row r="879">
      <c r="A879" s="8" t="n"/>
      <c r="B879" s="13" t="n"/>
      <c r="C879" s="13" t="n"/>
      <c r="D879" s="11" t="n"/>
      <c r="E879" s="7">
        <f>IF(A879="","",IF(OR(A879&lt;TaxStart,A879&gt;TaxEnd),"Outside tax year",IF(A879&lt;DATE(YEAR(TaxStart),7,6),"Q1",IF(A879&lt;DATE(YEAR(TaxStart),10,6),"Q2",IF(A879&lt;DATE(YEAR(TaxStart)+1,1,6),"Q3","Q4")))))</f>
        <v/>
      </c>
    </row>
    <row r="880">
      <c r="A880" s="8" t="n"/>
      <c r="B880" s="13" t="n"/>
      <c r="C880" s="13" t="n"/>
      <c r="D880" s="11" t="n"/>
      <c r="E880" s="7">
        <f>IF(A880="","",IF(OR(A880&lt;TaxStart,A880&gt;TaxEnd),"Outside tax year",IF(A880&lt;DATE(YEAR(TaxStart),7,6),"Q1",IF(A880&lt;DATE(YEAR(TaxStart),10,6),"Q2",IF(A880&lt;DATE(YEAR(TaxStart)+1,1,6),"Q3","Q4")))))</f>
        <v/>
      </c>
    </row>
    <row r="881">
      <c r="A881" s="8" t="n"/>
      <c r="B881" s="13" t="n"/>
      <c r="C881" s="13" t="n"/>
      <c r="D881" s="11" t="n"/>
      <c r="E881" s="7">
        <f>IF(A881="","",IF(OR(A881&lt;TaxStart,A881&gt;TaxEnd),"Outside tax year",IF(A881&lt;DATE(YEAR(TaxStart),7,6),"Q1",IF(A881&lt;DATE(YEAR(TaxStart),10,6),"Q2",IF(A881&lt;DATE(YEAR(TaxStart)+1,1,6),"Q3","Q4")))))</f>
        <v/>
      </c>
    </row>
    <row r="882">
      <c r="A882" s="8" t="n"/>
      <c r="B882" s="13" t="n"/>
      <c r="C882" s="13" t="n"/>
      <c r="D882" s="11" t="n"/>
      <c r="E882" s="7">
        <f>IF(A882="","",IF(OR(A882&lt;TaxStart,A882&gt;TaxEnd),"Outside tax year",IF(A882&lt;DATE(YEAR(TaxStart),7,6),"Q1",IF(A882&lt;DATE(YEAR(TaxStart),10,6),"Q2",IF(A882&lt;DATE(YEAR(TaxStart)+1,1,6),"Q3","Q4")))))</f>
        <v/>
      </c>
    </row>
    <row r="883">
      <c r="A883" s="8" t="n"/>
      <c r="B883" s="13" t="n"/>
      <c r="C883" s="13" t="n"/>
      <c r="D883" s="11" t="n"/>
      <c r="E883" s="7">
        <f>IF(A883="","",IF(OR(A883&lt;TaxStart,A883&gt;TaxEnd),"Outside tax year",IF(A883&lt;DATE(YEAR(TaxStart),7,6),"Q1",IF(A883&lt;DATE(YEAR(TaxStart),10,6),"Q2",IF(A883&lt;DATE(YEAR(TaxStart)+1,1,6),"Q3","Q4")))))</f>
        <v/>
      </c>
    </row>
    <row r="884">
      <c r="A884" s="8" t="n"/>
      <c r="B884" s="13" t="n"/>
      <c r="C884" s="13" t="n"/>
      <c r="D884" s="11" t="n"/>
      <c r="E884" s="7">
        <f>IF(A884="","",IF(OR(A884&lt;TaxStart,A884&gt;TaxEnd),"Outside tax year",IF(A884&lt;DATE(YEAR(TaxStart),7,6),"Q1",IF(A884&lt;DATE(YEAR(TaxStart),10,6),"Q2",IF(A884&lt;DATE(YEAR(TaxStart)+1,1,6),"Q3","Q4")))))</f>
        <v/>
      </c>
    </row>
    <row r="885">
      <c r="A885" s="8" t="n"/>
      <c r="B885" s="13" t="n"/>
      <c r="C885" s="13" t="n"/>
      <c r="D885" s="11" t="n"/>
      <c r="E885" s="7">
        <f>IF(A885="","",IF(OR(A885&lt;TaxStart,A885&gt;TaxEnd),"Outside tax year",IF(A885&lt;DATE(YEAR(TaxStart),7,6),"Q1",IF(A885&lt;DATE(YEAR(TaxStart),10,6),"Q2",IF(A885&lt;DATE(YEAR(TaxStart)+1,1,6),"Q3","Q4")))))</f>
        <v/>
      </c>
    </row>
    <row r="886">
      <c r="A886" s="8" t="n"/>
      <c r="B886" s="13" t="n"/>
      <c r="C886" s="13" t="n"/>
      <c r="D886" s="11" t="n"/>
      <c r="E886" s="7">
        <f>IF(A886="","",IF(OR(A886&lt;TaxStart,A886&gt;TaxEnd),"Outside tax year",IF(A886&lt;DATE(YEAR(TaxStart),7,6),"Q1",IF(A886&lt;DATE(YEAR(TaxStart),10,6),"Q2",IF(A886&lt;DATE(YEAR(TaxStart)+1,1,6),"Q3","Q4")))))</f>
        <v/>
      </c>
    </row>
    <row r="887">
      <c r="A887" s="8" t="n"/>
      <c r="B887" s="13" t="n"/>
      <c r="C887" s="13" t="n"/>
      <c r="D887" s="11" t="n"/>
      <c r="E887" s="7">
        <f>IF(A887="","",IF(OR(A887&lt;TaxStart,A887&gt;TaxEnd),"Outside tax year",IF(A887&lt;DATE(YEAR(TaxStart),7,6),"Q1",IF(A887&lt;DATE(YEAR(TaxStart),10,6),"Q2",IF(A887&lt;DATE(YEAR(TaxStart)+1,1,6),"Q3","Q4")))))</f>
        <v/>
      </c>
    </row>
    <row r="888">
      <c r="A888" s="8" t="n"/>
      <c r="B888" s="13" t="n"/>
      <c r="C888" s="13" t="n"/>
      <c r="D888" s="11" t="n"/>
      <c r="E888" s="7">
        <f>IF(A888="","",IF(OR(A888&lt;TaxStart,A888&gt;TaxEnd),"Outside tax year",IF(A888&lt;DATE(YEAR(TaxStart),7,6),"Q1",IF(A888&lt;DATE(YEAR(TaxStart),10,6),"Q2",IF(A888&lt;DATE(YEAR(TaxStart)+1,1,6),"Q3","Q4")))))</f>
        <v/>
      </c>
    </row>
    <row r="889">
      <c r="A889" s="8" t="n"/>
      <c r="B889" s="13" t="n"/>
      <c r="C889" s="13" t="n"/>
      <c r="D889" s="11" t="n"/>
      <c r="E889" s="7">
        <f>IF(A889="","",IF(OR(A889&lt;TaxStart,A889&gt;TaxEnd),"Outside tax year",IF(A889&lt;DATE(YEAR(TaxStart),7,6),"Q1",IF(A889&lt;DATE(YEAR(TaxStart),10,6),"Q2",IF(A889&lt;DATE(YEAR(TaxStart)+1,1,6),"Q3","Q4")))))</f>
        <v/>
      </c>
    </row>
    <row r="890">
      <c r="A890" s="8" t="n"/>
      <c r="B890" s="13" t="n"/>
      <c r="C890" s="13" t="n"/>
      <c r="D890" s="11" t="n"/>
      <c r="E890" s="7">
        <f>IF(A890="","",IF(OR(A890&lt;TaxStart,A890&gt;TaxEnd),"Outside tax year",IF(A890&lt;DATE(YEAR(TaxStart),7,6),"Q1",IF(A890&lt;DATE(YEAR(TaxStart),10,6),"Q2",IF(A890&lt;DATE(YEAR(TaxStart)+1,1,6),"Q3","Q4")))))</f>
        <v/>
      </c>
    </row>
    <row r="891">
      <c r="A891" s="8" t="n"/>
      <c r="B891" s="13" t="n"/>
      <c r="C891" s="13" t="n"/>
      <c r="D891" s="11" t="n"/>
      <c r="E891" s="7">
        <f>IF(A891="","",IF(OR(A891&lt;TaxStart,A891&gt;TaxEnd),"Outside tax year",IF(A891&lt;DATE(YEAR(TaxStart),7,6),"Q1",IF(A891&lt;DATE(YEAR(TaxStart),10,6),"Q2",IF(A891&lt;DATE(YEAR(TaxStart)+1,1,6),"Q3","Q4")))))</f>
        <v/>
      </c>
    </row>
    <row r="892">
      <c r="A892" s="8" t="n"/>
      <c r="B892" s="13" t="n"/>
      <c r="C892" s="13" t="n"/>
      <c r="D892" s="11" t="n"/>
      <c r="E892" s="7">
        <f>IF(A892="","",IF(OR(A892&lt;TaxStart,A892&gt;TaxEnd),"Outside tax year",IF(A892&lt;DATE(YEAR(TaxStart),7,6),"Q1",IF(A892&lt;DATE(YEAR(TaxStart),10,6),"Q2",IF(A892&lt;DATE(YEAR(TaxStart)+1,1,6),"Q3","Q4")))))</f>
        <v/>
      </c>
    </row>
    <row r="893">
      <c r="A893" s="8" t="n"/>
      <c r="B893" s="13" t="n"/>
      <c r="C893" s="13" t="n"/>
      <c r="D893" s="11" t="n"/>
      <c r="E893" s="7">
        <f>IF(A893="","",IF(OR(A893&lt;TaxStart,A893&gt;TaxEnd),"Outside tax year",IF(A893&lt;DATE(YEAR(TaxStart),7,6),"Q1",IF(A893&lt;DATE(YEAR(TaxStart),10,6),"Q2",IF(A893&lt;DATE(YEAR(TaxStart)+1,1,6),"Q3","Q4")))))</f>
        <v/>
      </c>
    </row>
    <row r="894">
      <c r="A894" s="8" t="n"/>
      <c r="B894" s="13" t="n"/>
      <c r="C894" s="13" t="n"/>
      <c r="D894" s="11" t="n"/>
      <c r="E894" s="7">
        <f>IF(A894="","",IF(OR(A894&lt;TaxStart,A894&gt;TaxEnd),"Outside tax year",IF(A894&lt;DATE(YEAR(TaxStart),7,6),"Q1",IF(A894&lt;DATE(YEAR(TaxStart),10,6),"Q2",IF(A894&lt;DATE(YEAR(TaxStart)+1,1,6),"Q3","Q4")))))</f>
        <v/>
      </c>
    </row>
    <row r="895">
      <c r="A895" s="8" t="n"/>
      <c r="B895" s="13" t="n"/>
      <c r="C895" s="13" t="n"/>
      <c r="D895" s="11" t="n"/>
      <c r="E895" s="7">
        <f>IF(A895="","",IF(OR(A895&lt;TaxStart,A895&gt;TaxEnd),"Outside tax year",IF(A895&lt;DATE(YEAR(TaxStart),7,6),"Q1",IF(A895&lt;DATE(YEAR(TaxStart),10,6),"Q2",IF(A895&lt;DATE(YEAR(TaxStart)+1,1,6),"Q3","Q4")))))</f>
        <v/>
      </c>
    </row>
    <row r="896">
      <c r="A896" s="8" t="n"/>
      <c r="B896" s="13" t="n"/>
      <c r="C896" s="13" t="n"/>
      <c r="D896" s="11" t="n"/>
      <c r="E896" s="7">
        <f>IF(A896="","",IF(OR(A896&lt;TaxStart,A896&gt;TaxEnd),"Outside tax year",IF(A896&lt;DATE(YEAR(TaxStart),7,6),"Q1",IF(A896&lt;DATE(YEAR(TaxStart),10,6),"Q2",IF(A896&lt;DATE(YEAR(TaxStart)+1,1,6),"Q3","Q4")))))</f>
        <v/>
      </c>
    </row>
    <row r="897">
      <c r="A897" s="8" t="n"/>
      <c r="B897" s="13" t="n"/>
      <c r="C897" s="13" t="n"/>
      <c r="D897" s="11" t="n"/>
      <c r="E897" s="7">
        <f>IF(A897="","",IF(OR(A897&lt;TaxStart,A897&gt;TaxEnd),"Outside tax year",IF(A897&lt;DATE(YEAR(TaxStart),7,6),"Q1",IF(A897&lt;DATE(YEAR(TaxStart),10,6),"Q2",IF(A897&lt;DATE(YEAR(TaxStart)+1,1,6),"Q3","Q4")))))</f>
        <v/>
      </c>
    </row>
    <row r="898">
      <c r="A898" s="8" t="n"/>
      <c r="B898" s="13" t="n"/>
      <c r="C898" s="13" t="n"/>
      <c r="D898" s="11" t="n"/>
      <c r="E898" s="7">
        <f>IF(A898="","",IF(OR(A898&lt;TaxStart,A898&gt;TaxEnd),"Outside tax year",IF(A898&lt;DATE(YEAR(TaxStart),7,6),"Q1",IF(A898&lt;DATE(YEAR(TaxStart),10,6),"Q2",IF(A898&lt;DATE(YEAR(TaxStart)+1,1,6),"Q3","Q4")))))</f>
        <v/>
      </c>
    </row>
    <row r="899">
      <c r="A899" s="8" t="n"/>
      <c r="B899" s="13" t="n"/>
      <c r="C899" s="13" t="n"/>
      <c r="D899" s="11" t="n"/>
      <c r="E899" s="7">
        <f>IF(A899="","",IF(OR(A899&lt;TaxStart,A899&gt;TaxEnd),"Outside tax year",IF(A899&lt;DATE(YEAR(TaxStart),7,6),"Q1",IF(A899&lt;DATE(YEAR(TaxStart),10,6),"Q2",IF(A899&lt;DATE(YEAR(TaxStart)+1,1,6),"Q3","Q4")))))</f>
        <v/>
      </c>
    </row>
    <row r="900">
      <c r="A900" s="8" t="n"/>
      <c r="B900" s="13" t="n"/>
      <c r="C900" s="13" t="n"/>
      <c r="D900" s="11" t="n"/>
      <c r="E900" s="7">
        <f>IF(A900="","",IF(OR(A900&lt;TaxStart,A900&gt;TaxEnd),"Outside tax year",IF(A900&lt;DATE(YEAR(TaxStart),7,6),"Q1",IF(A900&lt;DATE(YEAR(TaxStart),10,6),"Q2",IF(A900&lt;DATE(YEAR(TaxStart)+1,1,6),"Q3","Q4")))))</f>
        <v/>
      </c>
    </row>
    <row r="901">
      <c r="A901" s="8" t="n"/>
      <c r="B901" s="13" t="n"/>
      <c r="C901" s="13" t="n"/>
      <c r="D901" s="11" t="n"/>
      <c r="E901" s="7">
        <f>IF(A901="","",IF(OR(A901&lt;TaxStart,A901&gt;TaxEnd),"Outside tax year",IF(A901&lt;DATE(YEAR(TaxStart),7,6),"Q1",IF(A901&lt;DATE(YEAR(TaxStart),10,6),"Q2",IF(A901&lt;DATE(YEAR(TaxStart)+1,1,6),"Q3","Q4")))))</f>
        <v/>
      </c>
    </row>
    <row r="902">
      <c r="A902" s="8" t="n"/>
      <c r="B902" s="13" t="n"/>
      <c r="C902" s="13" t="n"/>
      <c r="D902" s="11" t="n"/>
      <c r="E902" s="7">
        <f>IF(A902="","",IF(OR(A902&lt;TaxStart,A902&gt;TaxEnd),"Outside tax year",IF(A902&lt;DATE(YEAR(TaxStart),7,6),"Q1",IF(A902&lt;DATE(YEAR(TaxStart),10,6),"Q2",IF(A902&lt;DATE(YEAR(TaxStart)+1,1,6),"Q3","Q4")))))</f>
        <v/>
      </c>
    </row>
    <row r="903">
      <c r="A903" s="8" t="n"/>
      <c r="B903" s="13" t="n"/>
      <c r="C903" s="13" t="n"/>
      <c r="D903" s="11" t="n"/>
      <c r="E903" s="7">
        <f>IF(A903="","",IF(OR(A903&lt;TaxStart,A903&gt;TaxEnd),"Outside tax year",IF(A903&lt;DATE(YEAR(TaxStart),7,6),"Q1",IF(A903&lt;DATE(YEAR(TaxStart),10,6),"Q2",IF(A903&lt;DATE(YEAR(TaxStart)+1,1,6),"Q3","Q4")))))</f>
        <v/>
      </c>
    </row>
    <row r="904">
      <c r="A904" s="8" t="n"/>
      <c r="B904" s="13" t="n"/>
      <c r="C904" s="13" t="n"/>
      <c r="D904" s="11" t="n"/>
      <c r="E904" s="7">
        <f>IF(A904="","",IF(OR(A904&lt;TaxStart,A904&gt;TaxEnd),"Outside tax year",IF(A904&lt;DATE(YEAR(TaxStart),7,6),"Q1",IF(A904&lt;DATE(YEAR(TaxStart),10,6),"Q2",IF(A904&lt;DATE(YEAR(TaxStart)+1,1,6),"Q3","Q4")))))</f>
        <v/>
      </c>
    </row>
    <row r="905">
      <c r="A905" s="8" t="n"/>
      <c r="B905" s="13" t="n"/>
      <c r="C905" s="13" t="n"/>
      <c r="D905" s="11" t="n"/>
      <c r="E905" s="7">
        <f>IF(A905="","",IF(OR(A905&lt;TaxStart,A905&gt;TaxEnd),"Outside tax year",IF(A905&lt;DATE(YEAR(TaxStart),7,6),"Q1",IF(A905&lt;DATE(YEAR(TaxStart),10,6),"Q2",IF(A905&lt;DATE(YEAR(TaxStart)+1,1,6),"Q3","Q4")))))</f>
        <v/>
      </c>
    </row>
    <row r="906">
      <c r="A906" s="8" t="n"/>
      <c r="B906" s="13" t="n"/>
      <c r="C906" s="13" t="n"/>
      <c r="D906" s="11" t="n"/>
      <c r="E906" s="7">
        <f>IF(A906="","",IF(OR(A906&lt;TaxStart,A906&gt;TaxEnd),"Outside tax year",IF(A906&lt;DATE(YEAR(TaxStart),7,6),"Q1",IF(A906&lt;DATE(YEAR(TaxStart),10,6),"Q2",IF(A906&lt;DATE(YEAR(TaxStart)+1,1,6),"Q3","Q4")))))</f>
        <v/>
      </c>
    </row>
    <row r="907">
      <c r="A907" s="8" t="n"/>
      <c r="B907" s="13" t="n"/>
      <c r="C907" s="13" t="n"/>
      <c r="D907" s="11" t="n"/>
      <c r="E907" s="7">
        <f>IF(A907="","",IF(OR(A907&lt;TaxStart,A907&gt;TaxEnd),"Outside tax year",IF(A907&lt;DATE(YEAR(TaxStart),7,6),"Q1",IF(A907&lt;DATE(YEAR(TaxStart),10,6),"Q2",IF(A907&lt;DATE(YEAR(TaxStart)+1,1,6),"Q3","Q4")))))</f>
        <v/>
      </c>
    </row>
    <row r="908">
      <c r="A908" s="8" t="n"/>
      <c r="B908" s="13" t="n"/>
      <c r="C908" s="13" t="n"/>
      <c r="D908" s="11" t="n"/>
      <c r="E908" s="7">
        <f>IF(A908="","",IF(OR(A908&lt;TaxStart,A908&gt;TaxEnd),"Outside tax year",IF(A908&lt;DATE(YEAR(TaxStart),7,6),"Q1",IF(A908&lt;DATE(YEAR(TaxStart),10,6),"Q2",IF(A908&lt;DATE(YEAR(TaxStart)+1,1,6),"Q3","Q4")))))</f>
        <v/>
      </c>
    </row>
    <row r="909">
      <c r="A909" s="8" t="n"/>
      <c r="B909" s="13" t="n"/>
      <c r="C909" s="13" t="n"/>
      <c r="D909" s="11" t="n"/>
      <c r="E909" s="7">
        <f>IF(A909="","",IF(OR(A909&lt;TaxStart,A909&gt;TaxEnd),"Outside tax year",IF(A909&lt;DATE(YEAR(TaxStart),7,6),"Q1",IF(A909&lt;DATE(YEAR(TaxStart),10,6),"Q2",IF(A909&lt;DATE(YEAR(TaxStart)+1,1,6),"Q3","Q4")))))</f>
        <v/>
      </c>
    </row>
    <row r="910">
      <c r="A910" s="8" t="n"/>
      <c r="B910" s="13" t="n"/>
      <c r="C910" s="13" t="n"/>
      <c r="D910" s="11" t="n"/>
      <c r="E910" s="7">
        <f>IF(A910="","",IF(OR(A910&lt;TaxStart,A910&gt;TaxEnd),"Outside tax year",IF(A910&lt;DATE(YEAR(TaxStart),7,6),"Q1",IF(A910&lt;DATE(YEAR(TaxStart),10,6),"Q2",IF(A910&lt;DATE(YEAR(TaxStart)+1,1,6),"Q3","Q4")))))</f>
        <v/>
      </c>
    </row>
    <row r="911">
      <c r="A911" s="8" t="n"/>
      <c r="B911" s="13" t="n"/>
      <c r="C911" s="13" t="n"/>
      <c r="D911" s="11" t="n"/>
      <c r="E911" s="7">
        <f>IF(A911="","",IF(OR(A911&lt;TaxStart,A911&gt;TaxEnd),"Outside tax year",IF(A911&lt;DATE(YEAR(TaxStart),7,6),"Q1",IF(A911&lt;DATE(YEAR(TaxStart),10,6),"Q2",IF(A911&lt;DATE(YEAR(TaxStart)+1,1,6),"Q3","Q4")))))</f>
        <v/>
      </c>
    </row>
    <row r="912">
      <c r="A912" s="8" t="n"/>
      <c r="B912" s="13" t="n"/>
      <c r="C912" s="13" t="n"/>
      <c r="D912" s="11" t="n"/>
      <c r="E912" s="7">
        <f>IF(A912="","",IF(OR(A912&lt;TaxStart,A912&gt;TaxEnd),"Outside tax year",IF(A912&lt;DATE(YEAR(TaxStart),7,6),"Q1",IF(A912&lt;DATE(YEAR(TaxStart),10,6),"Q2",IF(A912&lt;DATE(YEAR(TaxStart)+1,1,6),"Q3","Q4")))))</f>
        <v/>
      </c>
    </row>
    <row r="913">
      <c r="A913" s="8" t="n"/>
      <c r="B913" s="13" t="n"/>
      <c r="C913" s="13" t="n"/>
      <c r="D913" s="11" t="n"/>
      <c r="E913" s="7">
        <f>IF(A913="","",IF(OR(A913&lt;TaxStart,A913&gt;TaxEnd),"Outside tax year",IF(A913&lt;DATE(YEAR(TaxStart),7,6),"Q1",IF(A913&lt;DATE(YEAR(TaxStart),10,6),"Q2",IF(A913&lt;DATE(YEAR(TaxStart)+1,1,6),"Q3","Q4")))))</f>
        <v/>
      </c>
    </row>
    <row r="914">
      <c r="A914" s="8" t="n"/>
      <c r="B914" s="13" t="n"/>
      <c r="C914" s="13" t="n"/>
      <c r="D914" s="11" t="n"/>
      <c r="E914" s="7">
        <f>IF(A914="","",IF(OR(A914&lt;TaxStart,A914&gt;TaxEnd),"Outside tax year",IF(A914&lt;DATE(YEAR(TaxStart),7,6),"Q1",IF(A914&lt;DATE(YEAR(TaxStart),10,6),"Q2",IF(A914&lt;DATE(YEAR(TaxStart)+1,1,6),"Q3","Q4")))))</f>
        <v/>
      </c>
    </row>
    <row r="915">
      <c r="A915" s="8" t="n"/>
      <c r="B915" s="13" t="n"/>
      <c r="C915" s="13" t="n"/>
      <c r="D915" s="11" t="n"/>
      <c r="E915" s="7">
        <f>IF(A915="","",IF(OR(A915&lt;TaxStart,A915&gt;TaxEnd),"Outside tax year",IF(A915&lt;DATE(YEAR(TaxStart),7,6),"Q1",IF(A915&lt;DATE(YEAR(TaxStart),10,6),"Q2",IF(A915&lt;DATE(YEAR(TaxStart)+1,1,6),"Q3","Q4")))))</f>
        <v/>
      </c>
    </row>
    <row r="916">
      <c r="A916" s="8" t="n"/>
      <c r="B916" s="13" t="n"/>
      <c r="C916" s="13" t="n"/>
      <c r="D916" s="11" t="n"/>
      <c r="E916" s="7">
        <f>IF(A916="","",IF(OR(A916&lt;TaxStart,A916&gt;TaxEnd),"Outside tax year",IF(A916&lt;DATE(YEAR(TaxStart),7,6),"Q1",IF(A916&lt;DATE(YEAR(TaxStart),10,6),"Q2",IF(A916&lt;DATE(YEAR(TaxStart)+1,1,6),"Q3","Q4")))))</f>
        <v/>
      </c>
    </row>
    <row r="917">
      <c r="A917" s="8" t="n"/>
      <c r="B917" s="13" t="n"/>
      <c r="C917" s="13" t="n"/>
      <c r="D917" s="11" t="n"/>
      <c r="E917" s="7">
        <f>IF(A917="","",IF(OR(A917&lt;TaxStart,A917&gt;TaxEnd),"Outside tax year",IF(A917&lt;DATE(YEAR(TaxStart),7,6),"Q1",IF(A917&lt;DATE(YEAR(TaxStart),10,6),"Q2",IF(A917&lt;DATE(YEAR(TaxStart)+1,1,6),"Q3","Q4")))))</f>
        <v/>
      </c>
    </row>
    <row r="918">
      <c r="A918" s="8" t="n"/>
      <c r="B918" s="13" t="n"/>
      <c r="C918" s="13" t="n"/>
      <c r="D918" s="11" t="n"/>
      <c r="E918" s="7">
        <f>IF(A918="","",IF(OR(A918&lt;TaxStart,A918&gt;TaxEnd),"Outside tax year",IF(A918&lt;DATE(YEAR(TaxStart),7,6),"Q1",IF(A918&lt;DATE(YEAR(TaxStart),10,6),"Q2",IF(A918&lt;DATE(YEAR(TaxStart)+1,1,6),"Q3","Q4")))))</f>
        <v/>
      </c>
    </row>
    <row r="919">
      <c r="A919" s="8" t="n"/>
      <c r="B919" s="13" t="n"/>
      <c r="C919" s="13" t="n"/>
      <c r="D919" s="11" t="n"/>
      <c r="E919" s="7">
        <f>IF(A919="","",IF(OR(A919&lt;TaxStart,A919&gt;TaxEnd),"Outside tax year",IF(A919&lt;DATE(YEAR(TaxStart),7,6),"Q1",IF(A919&lt;DATE(YEAR(TaxStart),10,6),"Q2",IF(A919&lt;DATE(YEAR(TaxStart)+1,1,6),"Q3","Q4")))))</f>
        <v/>
      </c>
    </row>
    <row r="920">
      <c r="A920" s="8" t="n"/>
      <c r="B920" s="13" t="n"/>
      <c r="C920" s="13" t="n"/>
      <c r="D920" s="11" t="n"/>
      <c r="E920" s="7">
        <f>IF(A920="","",IF(OR(A920&lt;TaxStart,A920&gt;TaxEnd),"Outside tax year",IF(A920&lt;DATE(YEAR(TaxStart),7,6),"Q1",IF(A920&lt;DATE(YEAR(TaxStart),10,6),"Q2",IF(A920&lt;DATE(YEAR(TaxStart)+1,1,6),"Q3","Q4")))))</f>
        <v/>
      </c>
    </row>
    <row r="921">
      <c r="A921" s="8" t="n"/>
      <c r="B921" s="13" t="n"/>
      <c r="C921" s="13" t="n"/>
      <c r="D921" s="11" t="n"/>
      <c r="E921" s="7">
        <f>IF(A921="","",IF(OR(A921&lt;TaxStart,A921&gt;TaxEnd),"Outside tax year",IF(A921&lt;DATE(YEAR(TaxStart),7,6),"Q1",IF(A921&lt;DATE(YEAR(TaxStart),10,6),"Q2",IF(A921&lt;DATE(YEAR(TaxStart)+1,1,6),"Q3","Q4")))))</f>
        <v/>
      </c>
    </row>
    <row r="922">
      <c r="A922" s="8" t="n"/>
      <c r="B922" s="13" t="n"/>
      <c r="C922" s="13" t="n"/>
      <c r="D922" s="11" t="n"/>
      <c r="E922" s="7">
        <f>IF(A922="","",IF(OR(A922&lt;TaxStart,A922&gt;TaxEnd),"Outside tax year",IF(A922&lt;DATE(YEAR(TaxStart),7,6),"Q1",IF(A922&lt;DATE(YEAR(TaxStart),10,6),"Q2",IF(A922&lt;DATE(YEAR(TaxStart)+1,1,6),"Q3","Q4")))))</f>
        <v/>
      </c>
    </row>
    <row r="923">
      <c r="A923" s="8" t="n"/>
      <c r="B923" s="13" t="n"/>
      <c r="C923" s="13" t="n"/>
      <c r="D923" s="11" t="n"/>
      <c r="E923" s="7">
        <f>IF(A923="","",IF(OR(A923&lt;TaxStart,A923&gt;TaxEnd),"Outside tax year",IF(A923&lt;DATE(YEAR(TaxStart),7,6),"Q1",IF(A923&lt;DATE(YEAR(TaxStart),10,6),"Q2",IF(A923&lt;DATE(YEAR(TaxStart)+1,1,6),"Q3","Q4")))))</f>
        <v/>
      </c>
    </row>
    <row r="924">
      <c r="A924" s="8" t="n"/>
      <c r="B924" s="13" t="n"/>
      <c r="C924" s="13" t="n"/>
      <c r="D924" s="11" t="n"/>
      <c r="E924" s="7">
        <f>IF(A924="","",IF(OR(A924&lt;TaxStart,A924&gt;TaxEnd),"Outside tax year",IF(A924&lt;DATE(YEAR(TaxStart),7,6),"Q1",IF(A924&lt;DATE(YEAR(TaxStart),10,6),"Q2",IF(A924&lt;DATE(YEAR(TaxStart)+1,1,6),"Q3","Q4")))))</f>
        <v/>
      </c>
    </row>
    <row r="925">
      <c r="A925" s="8" t="n"/>
      <c r="B925" s="13" t="n"/>
      <c r="C925" s="13" t="n"/>
      <c r="D925" s="11" t="n"/>
      <c r="E925" s="7">
        <f>IF(A925="","",IF(OR(A925&lt;TaxStart,A925&gt;TaxEnd),"Outside tax year",IF(A925&lt;DATE(YEAR(TaxStart),7,6),"Q1",IF(A925&lt;DATE(YEAR(TaxStart),10,6),"Q2",IF(A925&lt;DATE(YEAR(TaxStart)+1,1,6),"Q3","Q4")))))</f>
        <v/>
      </c>
    </row>
    <row r="926">
      <c r="A926" s="8" t="n"/>
      <c r="B926" s="13" t="n"/>
      <c r="C926" s="13" t="n"/>
      <c r="D926" s="11" t="n"/>
      <c r="E926" s="7">
        <f>IF(A926="","",IF(OR(A926&lt;TaxStart,A926&gt;TaxEnd),"Outside tax year",IF(A926&lt;DATE(YEAR(TaxStart),7,6),"Q1",IF(A926&lt;DATE(YEAR(TaxStart),10,6),"Q2",IF(A926&lt;DATE(YEAR(TaxStart)+1,1,6),"Q3","Q4")))))</f>
        <v/>
      </c>
    </row>
    <row r="927">
      <c r="A927" s="8" t="n"/>
      <c r="B927" s="13" t="n"/>
      <c r="C927" s="13" t="n"/>
      <c r="D927" s="11" t="n"/>
      <c r="E927" s="7">
        <f>IF(A927="","",IF(OR(A927&lt;TaxStart,A927&gt;TaxEnd),"Outside tax year",IF(A927&lt;DATE(YEAR(TaxStart),7,6),"Q1",IF(A927&lt;DATE(YEAR(TaxStart),10,6),"Q2",IF(A927&lt;DATE(YEAR(TaxStart)+1,1,6),"Q3","Q4")))))</f>
        <v/>
      </c>
    </row>
    <row r="928">
      <c r="A928" s="8" t="n"/>
      <c r="B928" s="13" t="n"/>
      <c r="C928" s="13" t="n"/>
      <c r="D928" s="11" t="n"/>
      <c r="E928" s="7">
        <f>IF(A928="","",IF(OR(A928&lt;TaxStart,A928&gt;TaxEnd),"Outside tax year",IF(A928&lt;DATE(YEAR(TaxStart),7,6),"Q1",IF(A928&lt;DATE(YEAR(TaxStart),10,6),"Q2",IF(A928&lt;DATE(YEAR(TaxStart)+1,1,6),"Q3","Q4")))))</f>
        <v/>
      </c>
    </row>
    <row r="929">
      <c r="A929" s="8" t="n"/>
      <c r="B929" s="13" t="n"/>
      <c r="C929" s="13" t="n"/>
      <c r="D929" s="11" t="n"/>
      <c r="E929" s="7">
        <f>IF(A929="","",IF(OR(A929&lt;TaxStart,A929&gt;TaxEnd),"Outside tax year",IF(A929&lt;DATE(YEAR(TaxStart),7,6),"Q1",IF(A929&lt;DATE(YEAR(TaxStart),10,6),"Q2",IF(A929&lt;DATE(YEAR(TaxStart)+1,1,6),"Q3","Q4")))))</f>
        <v/>
      </c>
    </row>
    <row r="930">
      <c r="A930" s="8" t="n"/>
      <c r="B930" s="13" t="n"/>
      <c r="C930" s="13" t="n"/>
      <c r="D930" s="11" t="n"/>
      <c r="E930" s="7">
        <f>IF(A930="","",IF(OR(A930&lt;TaxStart,A930&gt;TaxEnd),"Outside tax year",IF(A930&lt;DATE(YEAR(TaxStart),7,6),"Q1",IF(A930&lt;DATE(YEAR(TaxStart),10,6),"Q2",IF(A930&lt;DATE(YEAR(TaxStart)+1,1,6),"Q3","Q4")))))</f>
        <v/>
      </c>
    </row>
    <row r="931">
      <c r="A931" s="8" t="n"/>
      <c r="B931" s="13" t="n"/>
      <c r="C931" s="13" t="n"/>
      <c r="D931" s="11" t="n"/>
      <c r="E931" s="7">
        <f>IF(A931="","",IF(OR(A931&lt;TaxStart,A931&gt;TaxEnd),"Outside tax year",IF(A931&lt;DATE(YEAR(TaxStart),7,6),"Q1",IF(A931&lt;DATE(YEAR(TaxStart),10,6),"Q2",IF(A931&lt;DATE(YEAR(TaxStart)+1,1,6),"Q3","Q4")))))</f>
        <v/>
      </c>
    </row>
    <row r="932">
      <c r="A932" s="8" t="n"/>
      <c r="B932" s="13" t="n"/>
      <c r="C932" s="13" t="n"/>
      <c r="D932" s="11" t="n"/>
      <c r="E932" s="7">
        <f>IF(A932="","",IF(OR(A932&lt;TaxStart,A932&gt;TaxEnd),"Outside tax year",IF(A932&lt;DATE(YEAR(TaxStart),7,6),"Q1",IF(A932&lt;DATE(YEAR(TaxStart),10,6),"Q2",IF(A932&lt;DATE(YEAR(TaxStart)+1,1,6),"Q3","Q4")))))</f>
        <v/>
      </c>
    </row>
    <row r="933">
      <c r="A933" s="8" t="n"/>
      <c r="B933" s="13" t="n"/>
      <c r="C933" s="13" t="n"/>
      <c r="D933" s="11" t="n"/>
      <c r="E933" s="7">
        <f>IF(A933="","",IF(OR(A933&lt;TaxStart,A933&gt;TaxEnd),"Outside tax year",IF(A933&lt;DATE(YEAR(TaxStart),7,6),"Q1",IF(A933&lt;DATE(YEAR(TaxStart),10,6),"Q2",IF(A933&lt;DATE(YEAR(TaxStart)+1,1,6),"Q3","Q4")))))</f>
        <v/>
      </c>
    </row>
    <row r="934">
      <c r="A934" s="8" t="n"/>
      <c r="B934" s="13" t="n"/>
      <c r="C934" s="13" t="n"/>
      <c r="D934" s="11" t="n"/>
      <c r="E934" s="7">
        <f>IF(A934="","",IF(OR(A934&lt;TaxStart,A934&gt;TaxEnd),"Outside tax year",IF(A934&lt;DATE(YEAR(TaxStart),7,6),"Q1",IF(A934&lt;DATE(YEAR(TaxStart),10,6),"Q2",IF(A934&lt;DATE(YEAR(TaxStart)+1,1,6),"Q3","Q4")))))</f>
        <v/>
      </c>
    </row>
    <row r="935">
      <c r="A935" s="8" t="n"/>
      <c r="B935" s="13" t="n"/>
      <c r="C935" s="13" t="n"/>
      <c r="D935" s="11" t="n"/>
      <c r="E935" s="7">
        <f>IF(A935="","",IF(OR(A935&lt;TaxStart,A935&gt;TaxEnd),"Outside tax year",IF(A935&lt;DATE(YEAR(TaxStart),7,6),"Q1",IF(A935&lt;DATE(YEAR(TaxStart),10,6),"Q2",IF(A935&lt;DATE(YEAR(TaxStart)+1,1,6),"Q3","Q4")))))</f>
        <v/>
      </c>
    </row>
    <row r="936">
      <c r="A936" s="8" t="n"/>
      <c r="B936" s="13" t="n"/>
      <c r="C936" s="13" t="n"/>
      <c r="D936" s="11" t="n"/>
      <c r="E936" s="7">
        <f>IF(A936="","",IF(OR(A936&lt;TaxStart,A936&gt;TaxEnd),"Outside tax year",IF(A936&lt;DATE(YEAR(TaxStart),7,6),"Q1",IF(A936&lt;DATE(YEAR(TaxStart),10,6),"Q2",IF(A936&lt;DATE(YEAR(TaxStart)+1,1,6),"Q3","Q4")))))</f>
        <v/>
      </c>
    </row>
    <row r="937">
      <c r="A937" s="8" t="n"/>
      <c r="B937" s="13" t="n"/>
      <c r="C937" s="13" t="n"/>
      <c r="D937" s="11" t="n"/>
      <c r="E937" s="7">
        <f>IF(A937="","",IF(OR(A937&lt;TaxStart,A937&gt;TaxEnd),"Outside tax year",IF(A937&lt;DATE(YEAR(TaxStart),7,6),"Q1",IF(A937&lt;DATE(YEAR(TaxStart),10,6),"Q2",IF(A937&lt;DATE(YEAR(TaxStart)+1,1,6),"Q3","Q4")))))</f>
        <v/>
      </c>
    </row>
    <row r="938">
      <c r="A938" s="8" t="n"/>
      <c r="B938" s="13" t="n"/>
      <c r="C938" s="13" t="n"/>
      <c r="D938" s="11" t="n"/>
      <c r="E938" s="7">
        <f>IF(A938="","",IF(OR(A938&lt;TaxStart,A938&gt;TaxEnd),"Outside tax year",IF(A938&lt;DATE(YEAR(TaxStart),7,6),"Q1",IF(A938&lt;DATE(YEAR(TaxStart),10,6),"Q2",IF(A938&lt;DATE(YEAR(TaxStart)+1,1,6),"Q3","Q4")))))</f>
        <v/>
      </c>
    </row>
    <row r="939">
      <c r="A939" s="8" t="n"/>
      <c r="B939" s="13" t="n"/>
      <c r="C939" s="13" t="n"/>
      <c r="D939" s="11" t="n"/>
      <c r="E939" s="7">
        <f>IF(A939="","",IF(OR(A939&lt;TaxStart,A939&gt;TaxEnd),"Outside tax year",IF(A939&lt;DATE(YEAR(TaxStart),7,6),"Q1",IF(A939&lt;DATE(YEAR(TaxStart),10,6),"Q2",IF(A939&lt;DATE(YEAR(TaxStart)+1,1,6),"Q3","Q4")))))</f>
        <v/>
      </c>
    </row>
    <row r="940">
      <c r="A940" s="8" t="n"/>
      <c r="B940" s="13" t="n"/>
      <c r="C940" s="13" t="n"/>
      <c r="D940" s="11" t="n"/>
      <c r="E940" s="7">
        <f>IF(A940="","",IF(OR(A940&lt;TaxStart,A940&gt;TaxEnd),"Outside tax year",IF(A940&lt;DATE(YEAR(TaxStart),7,6),"Q1",IF(A940&lt;DATE(YEAR(TaxStart),10,6),"Q2",IF(A940&lt;DATE(YEAR(TaxStart)+1,1,6),"Q3","Q4")))))</f>
        <v/>
      </c>
    </row>
    <row r="941">
      <c r="A941" s="8" t="n"/>
      <c r="B941" s="13" t="n"/>
      <c r="C941" s="13" t="n"/>
      <c r="D941" s="11" t="n"/>
      <c r="E941" s="7">
        <f>IF(A941="","",IF(OR(A941&lt;TaxStart,A941&gt;TaxEnd),"Outside tax year",IF(A941&lt;DATE(YEAR(TaxStart),7,6),"Q1",IF(A941&lt;DATE(YEAR(TaxStart),10,6),"Q2",IF(A941&lt;DATE(YEAR(TaxStart)+1,1,6),"Q3","Q4")))))</f>
        <v/>
      </c>
    </row>
    <row r="942">
      <c r="A942" s="8" t="n"/>
      <c r="B942" s="13" t="n"/>
      <c r="C942" s="13" t="n"/>
      <c r="D942" s="11" t="n"/>
      <c r="E942" s="7">
        <f>IF(A942="","",IF(OR(A942&lt;TaxStart,A942&gt;TaxEnd),"Outside tax year",IF(A942&lt;DATE(YEAR(TaxStart),7,6),"Q1",IF(A942&lt;DATE(YEAR(TaxStart),10,6),"Q2",IF(A942&lt;DATE(YEAR(TaxStart)+1,1,6),"Q3","Q4")))))</f>
        <v/>
      </c>
    </row>
    <row r="943">
      <c r="A943" s="8" t="n"/>
      <c r="B943" s="13" t="n"/>
      <c r="C943" s="13" t="n"/>
      <c r="D943" s="11" t="n"/>
      <c r="E943" s="7">
        <f>IF(A943="","",IF(OR(A943&lt;TaxStart,A943&gt;TaxEnd),"Outside tax year",IF(A943&lt;DATE(YEAR(TaxStart),7,6),"Q1",IF(A943&lt;DATE(YEAR(TaxStart),10,6),"Q2",IF(A943&lt;DATE(YEAR(TaxStart)+1,1,6),"Q3","Q4")))))</f>
        <v/>
      </c>
    </row>
    <row r="944">
      <c r="A944" s="8" t="n"/>
      <c r="B944" s="13" t="n"/>
      <c r="C944" s="13" t="n"/>
      <c r="D944" s="11" t="n"/>
      <c r="E944" s="7">
        <f>IF(A944="","",IF(OR(A944&lt;TaxStart,A944&gt;TaxEnd),"Outside tax year",IF(A944&lt;DATE(YEAR(TaxStart),7,6),"Q1",IF(A944&lt;DATE(YEAR(TaxStart),10,6),"Q2",IF(A944&lt;DATE(YEAR(TaxStart)+1,1,6),"Q3","Q4")))))</f>
        <v/>
      </c>
    </row>
    <row r="945">
      <c r="A945" s="8" t="n"/>
      <c r="B945" s="13" t="n"/>
      <c r="C945" s="13" t="n"/>
      <c r="D945" s="11" t="n"/>
      <c r="E945" s="7">
        <f>IF(A945="","",IF(OR(A945&lt;TaxStart,A945&gt;TaxEnd),"Outside tax year",IF(A945&lt;DATE(YEAR(TaxStart),7,6),"Q1",IF(A945&lt;DATE(YEAR(TaxStart),10,6),"Q2",IF(A945&lt;DATE(YEAR(TaxStart)+1,1,6),"Q3","Q4")))))</f>
        <v/>
      </c>
    </row>
    <row r="946">
      <c r="A946" s="8" t="n"/>
      <c r="B946" s="13" t="n"/>
      <c r="C946" s="13" t="n"/>
      <c r="D946" s="11" t="n"/>
      <c r="E946" s="7">
        <f>IF(A946="","",IF(OR(A946&lt;TaxStart,A946&gt;TaxEnd),"Outside tax year",IF(A946&lt;DATE(YEAR(TaxStart),7,6),"Q1",IF(A946&lt;DATE(YEAR(TaxStart),10,6),"Q2",IF(A946&lt;DATE(YEAR(TaxStart)+1,1,6),"Q3","Q4")))))</f>
        <v/>
      </c>
    </row>
    <row r="947">
      <c r="A947" s="8" t="n"/>
      <c r="B947" s="13" t="n"/>
      <c r="C947" s="13" t="n"/>
      <c r="D947" s="11" t="n"/>
      <c r="E947" s="7">
        <f>IF(A947="","",IF(OR(A947&lt;TaxStart,A947&gt;TaxEnd),"Outside tax year",IF(A947&lt;DATE(YEAR(TaxStart),7,6),"Q1",IF(A947&lt;DATE(YEAR(TaxStart),10,6),"Q2",IF(A947&lt;DATE(YEAR(TaxStart)+1,1,6),"Q3","Q4")))))</f>
        <v/>
      </c>
    </row>
    <row r="948">
      <c r="A948" s="8" t="n"/>
      <c r="B948" s="13" t="n"/>
      <c r="C948" s="13" t="n"/>
      <c r="D948" s="11" t="n"/>
      <c r="E948" s="7">
        <f>IF(A948="","",IF(OR(A948&lt;TaxStart,A948&gt;TaxEnd),"Outside tax year",IF(A948&lt;DATE(YEAR(TaxStart),7,6),"Q1",IF(A948&lt;DATE(YEAR(TaxStart),10,6),"Q2",IF(A948&lt;DATE(YEAR(TaxStart)+1,1,6),"Q3","Q4")))))</f>
        <v/>
      </c>
    </row>
    <row r="949">
      <c r="A949" s="8" t="n"/>
      <c r="B949" s="13" t="n"/>
      <c r="C949" s="13" t="n"/>
      <c r="D949" s="11" t="n"/>
      <c r="E949" s="7">
        <f>IF(A949="","",IF(OR(A949&lt;TaxStart,A949&gt;TaxEnd),"Outside tax year",IF(A949&lt;DATE(YEAR(TaxStart),7,6),"Q1",IF(A949&lt;DATE(YEAR(TaxStart),10,6),"Q2",IF(A949&lt;DATE(YEAR(TaxStart)+1,1,6),"Q3","Q4")))))</f>
        <v/>
      </c>
    </row>
    <row r="950">
      <c r="A950" s="8" t="n"/>
      <c r="B950" s="13" t="n"/>
      <c r="C950" s="13" t="n"/>
      <c r="D950" s="11" t="n"/>
      <c r="E950" s="7">
        <f>IF(A950="","",IF(OR(A950&lt;TaxStart,A950&gt;TaxEnd),"Outside tax year",IF(A950&lt;DATE(YEAR(TaxStart),7,6),"Q1",IF(A950&lt;DATE(YEAR(TaxStart),10,6),"Q2",IF(A950&lt;DATE(YEAR(TaxStart)+1,1,6),"Q3","Q4")))))</f>
        <v/>
      </c>
    </row>
    <row r="951">
      <c r="A951" s="8" t="n"/>
      <c r="B951" s="13" t="n"/>
      <c r="C951" s="13" t="n"/>
      <c r="D951" s="11" t="n"/>
      <c r="E951" s="7">
        <f>IF(A951="","",IF(OR(A951&lt;TaxStart,A951&gt;TaxEnd),"Outside tax year",IF(A951&lt;DATE(YEAR(TaxStart),7,6),"Q1",IF(A951&lt;DATE(YEAR(TaxStart),10,6),"Q2",IF(A951&lt;DATE(YEAR(TaxStart)+1,1,6),"Q3","Q4")))))</f>
        <v/>
      </c>
    </row>
    <row r="952">
      <c r="A952" s="8" t="n"/>
      <c r="B952" s="13" t="n"/>
      <c r="C952" s="13" t="n"/>
      <c r="D952" s="11" t="n"/>
      <c r="E952" s="7">
        <f>IF(A952="","",IF(OR(A952&lt;TaxStart,A952&gt;TaxEnd),"Outside tax year",IF(A952&lt;DATE(YEAR(TaxStart),7,6),"Q1",IF(A952&lt;DATE(YEAR(TaxStart),10,6),"Q2",IF(A952&lt;DATE(YEAR(TaxStart)+1,1,6),"Q3","Q4")))))</f>
        <v/>
      </c>
    </row>
    <row r="953">
      <c r="A953" s="8" t="n"/>
      <c r="B953" s="13" t="n"/>
      <c r="C953" s="13" t="n"/>
      <c r="D953" s="11" t="n"/>
      <c r="E953" s="7">
        <f>IF(A953="","",IF(OR(A953&lt;TaxStart,A953&gt;TaxEnd),"Outside tax year",IF(A953&lt;DATE(YEAR(TaxStart),7,6),"Q1",IF(A953&lt;DATE(YEAR(TaxStart),10,6),"Q2",IF(A953&lt;DATE(YEAR(TaxStart)+1,1,6),"Q3","Q4")))))</f>
        <v/>
      </c>
    </row>
    <row r="954">
      <c r="A954" s="8" t="n"/>
      <c r="B954" s="13" t="n"/>
      <c r="C954" s="13" t="n"/>
      <c r="D954" s="11" t="n"/>
      <c r="E954" s="7">
        <f>IF(A954="","",IF(OR(A954&lt;TaxStart,A954&gt;TaxEnd),"Outside tax year",IF(A954&lt;DATE(YEAR(TaxStart),7,6),"Q1",IF(A954&lt;DATE(YEAR(TaxStart),10,6),"Q2",IF(A954&lt;DATE(YEAR(TaxStart)+1,1,6),"Q3","Q4")))))</f>
        <v/>
      </c>
    </row>
    <row r="955">
      <c r="A955" s="8" t="n"/>
      <c r="B955" s="13" t="n"/>
      <c r="C955" s="13" t="n"/>
      <c r="D955" s="11" t="n"/>
      <c r="E955" s="7">
        <f>IF(A955="","",IF(OR(A955&lt;TaxStart,A955&gt;TaxEnd),"Outside tax year",IF(A955&lt;DATE(YEAR(TaxStart),7,6),"Q1",IF(A955&lt;DATE(YEAR(TaxStart),10,6),"Q2",IF(A955&lt;DATE(YEAR(TaxStart)+1,1,6),"Q3","Q4")))))</f>
        <v/>
      </c>
    </row>
    <row r="956">
      <c r="A956" s="8" t="n"/>
      <c r="B956" s="13" t="n"/>
      <c r="C956" s="13" t="n"/>
      <c r="D956" s="11" t="n"/>
      <c r="E956" s="7">
        <f>IF(A956="","",IF(OR(A956&lt;TaxStart,A956&gt;TaxEnd),"Outside tax year",IF(A956&lt;DATE(YEAR(TaxStart),7,6),"Q1",IF(A956&lt;DATE(YEAR(TaxStart),10,6),"Q2",IF(A956&lt;DATE(YEAR(TaxStart)+1,1,6),"Q3","Q4")))))</f>
        <v/>
      </c>
    </row>
    <row r="957">
      <c r="A957" s="8" t="n"/>
      <c r="B957" s="13" t="n"/>
      <c r="C957" s="13" t="n"/>
      <c r="D957" s="11" t="n"/>
      <c r="E957" s="7">
        <f>IF(A957="","",IF(OR(A957&lt;TaxStart,A957&gt;TaxEnd),"Outside tax year",IF(A957&lt;DATE(YEAR(TaxStart),7,6),"Q1",IF(A957&lt;DATE(YEAR(TaxStart),10,6),"Q2",IF(A957&lt;DATE(YEAR(TaxStart)+1,1,6),"Q3","Q4")))))</f>
        <v/>
      </c>
    </row>
    <row r="958">
      <c r="A958" s="8" t="n"/>
      <c r="B958" s="13" t="n"/>
      <c r="C958" s="13" t="n"/>
      <c r="D958" s="11" t="n"/>
      <c r="E958" s="7">
        <f>IF(A958="","",IF(OR(A958&lt;TaxStart,A958&gt;TaxEnd),"Outside tax year",IF(A958&lt;DATE(YEAR(TaxStart),7,6),"Q1",IF(A958&lt;DATE(YEAR(TaxStart),10,6),"Q2",IF(A958&lt;DATE(YEAR(TaxStart)+1,1,6),"Q3","Q4")))))</f>
        <v/>
      </c>
    </row>
    <row r="959">
      <c r="A959" s="8" t="n"/>
      <c r="B959" s="13" t="n"/>
      <c r="C959" s="13" t="n"/>
      <c r="D959" s="11" t="n"/>
      <c r="E959" s="7">
        <f>IF(A959="","",IF(OR(A959&lt;TaxStart,A959&gt;TaxEnd),"Outside tax year",IF(A959&lt;DATE(YEAR(TaxStart),7,6),"Q1",IF(A959&lt;DATE(YEAR(TaxStart),10,6),"Q2",IF(A959&lt;DATE(YEAR(TaxStart)+1,1,6),"Q3","Q4")))))</f>
        <v/>
      </c>
    </row>
    <row r="960">
      <c r="A960" s="8" t="n"/>
      <c r="B960" s="13" t="n"/>
      <c r="C960" s="13" t="n"/>
      <c r="D960" s="11" t="n"/>
      <c r="E960" s="7">
        <f>IF(A960="","",IF(OR(A960&lt;TaxStart,A960&gt;TaxEnd),"Outside tax year",IF(A960&lt;DATE(YEAR(TaxStart),7,6),"Q1",IF(A960&lt;DATE(YEAR(TaxStart),10,6),"Q2",IF(A960&lt;DATE(YEAR(TaxStart)+1,1,6),"Q3","Q4")))))</f>
        <v/>
      </c>
    </row>
    <row r="961">
      <c r="A961" s="8" t="n"/>
      <c r="B961" s="13" t="n"/>
      <c r="C961" s="13" t="n"/>
      <c r="D961" s="11" t="n"/>
      <c r="E961" s="7">
        <f>IF(A961="","",IF(OR(A961&lt;TaxStart,A961&gt;TaxEnd),"Outside tax year",IF(A961&lt;DATE(YEAR(TaxStart),7,6),"Q1",IF(A961&lt;DATE(YEAR(TaxStart),10,6),"Q2",IF(A961&lt;DATE(YEAR(TaxStart)+1,1,6),"Q3","Q4")))))</f>
        <v/>
      </c>
    </row>
    <row r="962">
      <c r="A962" s="8" t="n"/>
      <c r="B962" s="13" t="n"/>
      <c r="C962" s="13" t="n"/>
      <c r="D962" s="11" t="n"/>
      <c r="E962" s="7">
        <f>IF(A962="","",IF(OR(A962&lt;TaxStart,A962&gt;TaxEnd),"Outside tax year",IF(A962&lt;DATE(YEAR(TaxStart),7,6),"Q1",IF(A962&lt;DATE(YEAR(TaxStart),10,6),"Q2",IF(A962&lt;DATE(YEAR(TaxStart)+1,1,6),"Q3","Q4")))))</f>
        <v/>
      </c>
    </row>
    <row r="963">
      <c r="A963" s="8" t="n"/>
      <c r="B963" s="13" t="n"/>
      <c r="C963" s="13" t="n"/>
      <c r="D963" s="11" t="n"/>
      <c r="E963" s="7">
        <f>IF(A963="","",IF(OR(A963&lt;TaxStart,A963&gt;TaxEnd),"Outside tax year",IF(A963&lt;DATE(YEAR(TaxStart),7,6),"Q1",IF(A963&lt;DATE(YEAR(TaxStart),10,6),"Q2",IF(A963&lt;DATE(YEAR(TaxStart)+1,1,6),"Q3","Q4")))))</f>
        <v/>
      </c>
    </row>
    <row r="964">
      <c r="A964" s="8" t="n"/>
      <c r="B964" s="13" t="n"/>
      <c r="C964" s="13" t="n"/>
      <c r="D964" s="11" t="n"/>
      <c r="E964" s="7">
        <f>IF(A964="","",IF(OR(A964&lt;TaxStart,A964&gt;TaxEnd),"Outside tax year",IF(A964&lt;DATE(YEAR(TaxStart),7,6),"Q1",IF(A964&lt;DATE(YEAR(TaxStart),10,6),"Q2",IF(A964&lt;DATE(YEAR(TaxStart)+1,1,6),"Q3","Q4")))))</f>
        <v/>
      </c>
    </row>
    <row r="965">
      <c r="A965" s="8" t="n"/>
      <c r="B965" s="13" t="n"/>
      <c r="C965" s="13" t="n"/>
      <c r="D965" s="11" t="n"/>
      <c r="E965" s="7">
        <f>IF(A965="","",IF(OR(A965&lt;TaxStart,A965&gt;TaxEnd),"Outside tax year",IF(A965&lt;DATE(YEAR(TaxStart),7,6),"Q1",IF(A965&lt;DATE(YEAR(TaxStart),10,6),"Q2",IF(A965&lt;DATE(YEAR(TaxStart)+1,1,6),"Q3","Q4")))))</f>
        <v/>
      </c>
    </row>
    <row r="966">
      <c r="A966" s="8" t="n"/>
      <c r="B966" s="13" t="n"/>
      <c r="C966" s="13" t="n"/>
      <c r="D966" s="11" t="n"/>
      <c r="E966" s="7">
        <f>IF(A966="","",IF(OR(A966&lt;TaxStart,A966&gt;TaxEnd),"Outside tax year",IF(A966&lt;DATE(YEAR(TaxStart),7,6),"Q1",IF(A966&lt;DATE(YEAR(TaxStart),10,6),"Q2",IF(A966&lt;DATE(YEAR(TaxStart)+1,1,6),"Q3","Q4")))))</f>
        <v/>
      </c>
    </row>
    <row r="967">
      <c r="A967" s="8" t="n"/>
      <c r="B967" s="13" t="n"/>
      <c r="C967" s="13" t="n"/>
      <c r="D967" s="11" t="n"/>
      <c r="E967" s="7">
        <f>IF(A967="","",IF(OR(A967&lt;TaxStart,A967&gt;TaxEnd),"Outside tax year",IF(A967&lt;DATE(YEAR(TaxStart),7,6),"Q1",IF(A967&lt;DATE(YEAR(TaxStart),10,6),"Q2",IF(A967&lt;DATE(YEAR(TaxStart)+1,1,6),"Q3","Q4")))))</f>
        <v/>
      </c>
    </row>
    <row r="968">
      <c r="A968" s="8" t="n"/>
      <c r="B968" s="13" t="n"/>
      <c r="C968" s="13" t="n"/>
      <c r="D968" s="11" t="n"/>
      <c r="E968" s="7">
        <f>IF(A968="","",IF(OR(A968&lt;TaxStart,A968&gt;TaxEnd),"Outside tax year",IF(A968&lt;DATE(YEAR(TaxStart),7,6),"Q1",IF(A968&lt;DATE(YEAR(TaxStart),10,6),"Q2",IF(A968&lt;DATE(YEAR(TaxStart)+1,1,6),"Q3","Q4")))))</f>
        <v/>
      </c>
    </row>
    <row r="969">
      <c r="A969" s="8" t="n"/>
      <c r="B969" s="13" t="n"/>
      <c r="C969" s="13" t="n"/>
      <c r="D969" s="11" t="n"/>
      <c r="E969" s="7">
        <f>IF(A969="","",IF(OR(A969&lt;TaxStart,A969&gt;TaxEnd),"Outside tax year",IF(A969&lt;DATE(YEAR(TaxStart),7,6),"Q1",IF(A969&lt;DATE(YEAR(TaxStart),10,6),"Q2",IF(A969&lt;DATE(YEAR(TaxStart)+1,1,6),"Q3","Q4")))))</f>
        <v/>
      </c>
    </row>
    <row r="970">
      <c r="A970" s="8" t="n"/>
      <c r="B970" s="13" t="n"/>
      <c r="C970" s="13" t="n"/>
      <c r="D970" s="11" t="n"/>
      <c r="E970" s="7">
        <f>IF(A970="","",IF(OR(A970&lt;TaxStart,A970&gt;TaxEnd),"Outside tax year",IF(A970&lt;DATE(YEAR(TaxStart),7,6),"Q1",IF(A970&lt;DATE(YEAR(TaxStart),10,6),"Q2",IF(A970&lt;DATE(YEAR(TaxStart)+1,1,6),"Q3","Q4")))))</f>
        <v/>
      </c>
    </row>
    <row r="971">
      <c r="A971" s="8" t="n"/>
      <c r="B971" s="13" t="n"/>
      <c r="C971" s="13" t="n"/>
      <c r="D971" s="11" t="n"/>
      <c r="E971" s="7">
        <f>IF(A971="","",IF(OR(A971&lt;TaxStart,A971&gt;TaxEnd),"Outside tax year",IF(A971&lt;DATE(YEAR(TaxStart),7,6),"Q1",IF(A971&lt;DATE(YEAR(TaxStart),10,6),"Q2",IF(A971&lt;DATE(YEAR(TaxStart)+1,1,6),"Q3","Q4")))))</f>
        <v/>
      </c>
    </row>
    <row r="972">
      <c r="A972" s="8" t="n"/>
      <c r="B972" s="13" t="n"/>
      <c r="C972" s="13" t="n"/>
      <c r="D972" s="11" t="n"/>
      <c r="E972" s="7">
        <f>IF(A972="","",IF(OR(A972&lt;TaxStart,A972&gt;TaxEnd),"Outside tax year",IF(A972&lt;DATE(YEAR(TaxStart),7,6),"Q1",IF(A972&lt;DATE(YEAR(TaxStart),10,6),"Q2",IF(A972&lt;DATE(YEAR(TaxStart)+1,1,6),"Q3","Q4")))))</f>
        <v/>
      </c>
    </row>
    <row r="973">
      <c r="A973" s="8" t="n"/>
      <c r="B973" s="13" t="n"/>
      <c r="C973" s="13" t="n"/>
      <c r="D973" s="11" t="n"/>
      <c r="E973" s="7">
        <f>IF(A973="","",IF(OR(A973&lt;TaxStart,A973&gt;TaxEnd),"Outside tax year",IF(A973&lt;DATE(YEAR(TaxStart),7,6),"Q1",IF(A973&lt;DATE(YEAR(TaxStart),10,6),"Q2",IF(A973&lt;DATE(YEAR(TaxStart)+1,1,6),"Q3","Q4")))))</f>
        <v/>
      </c>
    </row>
    <row r="974">
      <c r="A974" s="8" t="n"/>
      <c r="B974" s="13" t="n"/>
      <c r="C974" s="13" t="n"/>
      <c r="D974" s="11" t="n"/>
      <c r="E974" s="7">
        <f>IF(A974="","",IF(OR(A974&lt;TaxStart,A974&gt;TaxEnd),"Outside tax year",IF(A974&lt;DATE(YEAR(TaxStart),7,6),"Q1",IF(A974&lt;DATE(YEAR(TaxStart),10,6),"Q2",IF(A974&lt;DATE(YEAR(TaxStart)+1,1,6),"Q3","Q4")))))</f>
        <v/>
      </c>
    </row>
    <row r="975">
      <c r="A975" s="8" t="n"/>
      <c r="B975" s="13" t="n"/>
      <c r="C975" s="13" t="n"/>
      <c r="D975" s="11" t="n"/>
      <c r="E975" s="7">
        <f>IF(A975="","",IF(OR(A975&lt;TaxStart,A975&gt;TaxEnd),"Outside tax year",IF(A975&lt;DATE(YEAR(TaxStart),7,6),"Q1",IF(A975&lt;DATE(YEAR(TaxStart),10,6),"Q2",IF(A975&lt;DATE(YEAR(TaxStart)+1,1,6),"Q3","Q4")))))</f>
        <v/>
      </c>
    </row>
    <row r="976">
      <c r="A976" s="8" t="n"/>
      <c r="B976" s="13" t="n"/>
      <c r="C976" s="13" t="n"/>
      <c r="D976" s="11" t="n"/>
      <c r="E976" s="7">
        <f>IF(A976="","",IF(OR(A976&lt;TaxStart,A976&gt;TaxEnd),"Outside tax year",IF(A976&lt;DATE(YEAR(TaxStart),7,6),"Q1",IF(A976&lt;DATE(YEAR(TaxStart),10,6),"Q2",IF(A976&lt;DATE(YEAR(TaxStart)+1,1,6),"Q3","Q4")))))</f>
        <v/>
      </c>
    </row>
    <row r="977">
      <c r="A977" s="8" t="n"/>
      <c r="B977" s="13" t="n"/>
      <c r="C977" s="13" t="n"/>
      <c r="D977" s="11" t="n"/>
      <c r="E977" s="7">
        <f>IF(A977="","",IF(OR(A977&lt;TaxStart,A977&gt;TaxEnd),"Outside tax year",IF(A977&lt;DATE(YEAR(TaxStart),7,6),"Q1",IF(A977&lt;DATE(YEAR(TaxStart),10,6),"Q2",IF(A977&lt;DATE(YEAR(TaxStart)+1,1,6),"Q3","Q4")))))</f>
        <v/>
      </c>
    </row>
    <row r="978">
      <c r="A978" s="8" t="n"/>
      <c r="B978" s="13" t="n"/>
      <c r="C978" s="13" t="n"/>
      <c r="D978" s="11" t="n"/>
      <c r="E978" s="7">
        <f>IF(A978="","",IF(OR(A978&lt;TaxStart,A978&gt;TaxEnd),"Outside tax year",IF(A978&lt;DATE(YEAR(TaxStart),7,6),"Q1",IF(A978&lt;DATE(YEAR(TaxStart),10,6),"Q2",IF(A978&lt;DATE(YEAR(TaxStart)+1,1,6),"Q3","Q4")))))</f>
        <v/>
      </c>
    </row>
    <row r="979">
      <c r="A979" s="8" t="n"/>
      <c r="B979" s="13" t="n"/>
      <c r="C979" s="13" t="n"/>
      <c r="D979" s="11" t="n"/>
      <c r="E979" s="7">
        <f>IF(A979="","",IF(OR(A979&lt;TaxStart,A979&gt;TaxEnd),"Outside tax year",IF(A979&lt;DATE(YEAR(TaxStart),7,6),"Q1",IF(A979&lt;DATE(YEAR(TaxStart),10,6),"Q2",IF(A979&lt;DATE(YEAR(TaxStart)+1,1,6),"Q3","Q4")))))</f>
        <v/>
      </c>
    </row>
    <row r="980">
      <c r="A980" s="8" t="n"/>
      <c r="B980" s="13" t="n"/>
      <c r="C980" s="13" t="n"/>
      <c r="D980" s="11" t="n"/>
      <c r="E980" s="7">
        <f>IF(A980="","",IF(OR(A980&lt;TaxStart,A980&gt;TaxEnd),"Outside tax year",IF(A980&lt;DATE(YEAR(TaxStart),7,6),"Q1",IF(A980&lt;DATE(YEAR(TaxStart),10,6),"Q2",IF(A980&lt;DATE(YEAR(TaxStart)+1,1,6),"Q3","Q4")))))</f>
        <v/>
      </c>
    </row>
    <row r="981">
      <c r="A981" s="8" t="n"/>
      <c r="B981" s="13" t="n"/>
      <c r="C981" s="13" t="n"/>
      <c r="D981" s="11" t="n"/>
      <c r="E981" s="7">
        <f>IF(A981="","",IF(OR(A981&lt;TaxStart,A981&gt;TaxEnd),"Outside tax year",IF(A981&lt;DATE(YEAR(TaxStart),7,6),"Q1",IF(A981&lt;DATE(YEAR(TaxStart),10,6),"Q2",IF(A981&lt;DATE(YEAR(TaxStart)+1,1,6),"Q3","Q4")))))</f>
        <v/>
      </c>
    </row>
    <row r="982">
      <c r="A982" s="8" t="n"/>
      <c r="B982" s="13" t="n"/>
      <c r="C982" s="13" t="n"/>
      <c r="D982" s="11" t="n"/>
      <c r="E982" s="7">
        <f>IF(A982="","",IF(OR(A982&lt;TaxStart,A982&gt;TaxEnd),"Outside tax year",IF(A982&lt;DATE(YEAR(TaxStart),7,6),"Q1",IF(A982&lt;DATE(YEAR(TaxStart),10,6),"Q2",IF(A982&lt;DATE(YEAR(TaxStart)+1,1,6),"Q3","Q4")))))</f>
        <v/>
      </c>
    </row>
    <row r="983">
      <c r="A983" s="8" t="n"/>
      <c r="B983" s="13" t="n"/>
      <c r="C983" s="13" t="n"/>
      <c r="D983" s="11" t="n"/>
      <c r="E983" s="7">
        <f>IF(A983="","",IF(OR(A983&lt;TaxStart,A983&gt;TaxEnd),"Outside tax year",IF(A983&lt;DATE(YEAR(TaxStart),7,6),"Q1",IF(A983&lt;DATE(YEAR(TaxStart),10,6),"Q2",IF(A983&lt;DATE(YEAR(TaxStart)+1,1,6),"Q3","Q4")))))</f>
        <v/>
      </c>
    </row>
    <row r="984">
      <c r="A984" s="8" t="n"/>
      <c r="B984" s="13" t="n"/>
      <c r="C984" s="13" t="n"/>
      <c r="D984" s="11" t="n"/>
      <c r="E984" s="7">
        <f>IF(A984="","",IF(OR(A984&lt;TaxStart,A984&gt;TaxEnd),"Outside tax year",IF(A984&lt;DATE(YEAR(TaxStart),7,6),"Q1",IF(A984&lt;DATE(YEAR(TaxStart),10,6),"Q2",IF(A984&lt;DATE(YEAR(TaxStart)+1,1,6),"Q3","Q4")))))</f>
        <v/>
      </c>
    </row>
    <row r="985">
      <c r="A985" s="8" t="n"/>
      <c r="B985" s="13" t="n"/>
      <c r="C985" s="13" t="n"/>
      <c r="D985" s="11" t="n"/>
      <c r="E985" s="7">
        <f>IF(A985="","",IF(OR(A985&lt;TaxStart,A985&gt;TaxEnd),"Outside tax year",IF(A985&lt;DATE(YEAR(TaxStart),7,6),"Q1",IF(A985&lt;DATE(YEAR(TaxStart),10,6),"Q2",IF(A985&lt;DATE(YEAR(TaxStart)+1,1,6),"Q3","Q4")))))</f>
        <v/>
      </c>
    </row>
    <row r="986">
      <c r="A986" s="8" t="n"/>
      <c r="B986" s="13" t="n"/>
      <c r="C986" s="13" t="n"/>
      <c r="D986" s="11" t="n"/>
      <c r="E986" s="7">
        <f>IF(A986="","",IF(OR(A986&lt;TaxStart,A986&gt;TaxEnd),"Outside tax year",IF(A986&lt;DATE(YEAR(TaxStart),7,6),"Q1",IF(A986&lt;DATE(YEAR(TaxStart),10,6),"Q2",IF(A986&lt;DATE(YEAR(TaxStart)+1,1,6),"Q3","Q4")))))</f>
        <v/>
      </c>
    </row>
    <row r="987">
      <c r="A987" s="8" t="n"/>
      <c r="B987" s="13" t="n"/>
      <c r="C987" s="13" t="n"/>
      <c r="D987" s="11" t="n"/>
      <c r="E987" s="7">
        <f>IF(A987="","",IF(OR(A987&lt;TaxStart,A987&gt;TaxEnd),"Outside tax year",IF(A987&lt;DATE(YEAR(TaxStart),7,6),"Q1",IF(A987&lt;DATE(YEAR(TaxStart),10,6),"Q2",IF(A987&lt;DATE(YEAR(TaxStart)+1,1,6),"Q3","Q4")))))</f>
        <v/>
      </c>
    </row>
    <row r="988">
      <c r="A988" s="8" t="n"/>
      <c r="B988" s="13" t="n"/>
      <c r="C988" s="13" t="n"/>
      <c r="D988" s="11" t="n"/>
      <c r="E988" s="7">
        <f>IF(A988="","",IF(OR(A988&lt;TaxStart,A988&gt;TaxEnd),"Outside tax year",IF(A988&lt;DATE(YEAR(TaxStart),7,6),"Q1",IF(A988&lt;DATE(YEAR(TaxStart),10,6),"Q2",IF(A988&lt;DATE(YEAR(TaxStart)+1,1,6),"Q3","Q4")))))</f>
        <v/>
      </c>
    </row>
    <row r="989">
      <c r="A989" s="8" t="n"/>
      <c r="B989" s="13" t="n"/>
      <c r="C989" s="13" t="n"/>
      <c r="D989" s="11" t="n"/>
      <c r="E989" s="7">
        <f>IF(A989="","",IF(OR(A989&lt;TaxStart,A989&gt;TaxEnd),"Outside tax year",IF(A989&lt;DATE(YEAR(TaxStart),7,6),"Q1",IF(A989&lt;DATE(YEAR(TaxStart),10,6),"Q2",IF(A989&lt;DATE(YEAR(TaxStart)+1,1,6),"Q3","Q4")))))</f>
        <v/>
      </c>
    </row>
    <row r="990">
      <c r="A990" s="8" t="n"/>
      <c r="B990" s="13" t="n"/>
      <c r="C990" s="13" t="n"/>
      <c r="D990" s="11" t="n"/>
      <c r="E990" s="7">
        <f>IF(A990="","",IF(OR(A990&lt;TaxStart,A990&gt;TaxEnd),"Outside tax year",IF(A990&lt;DATE(YEAR(TaxStart),7,6),"Q1",IF(A990&lt;DATE(YEAR(TaxStart),10,6),"Q2",IF(A990&lt;DATE(YEAR(TaxStart)+1,1,6),"Q3","Q4")))))</f>
        <v/>
      </c>
    </row>
    <row r="991">
      <c r="A991" s="8" t="n"/>
      <c r="B991" s="13" t="n"/>
      <c r="C991" s="13" t="n"/>
      <c r="D991" s="11" t="n"/>
      <c r="E991" s="7">
        <f>IF(A991="","",IF(OR(A991&lt;TaxStart,A991&gt;TaxEnd),"Outside tax year",IF(A991&lt;DATE(YEAR(TaxStart),7,6),"Q1",IF(A991&lt;DATE(YEAR(TaxStart),10,6),"Q2",IF(A991&lt;DATE(YEAR(TaxStart)+1,1,6),"Q3","Q4")))))</f>
        <v/>
      </c>
    </row>
    <row r="992">
      <c r="A992" s="8" t="n"/>
      <c r="B992" s="13" t="n"/>
      <c r="C992" s="13" t="n"/>
      <c r="D992" s="11" t="n"/>
      <c r="E992" s="7">
        <f>IF(A992="","",IF(OR(A992&lt;TaxStart,A992&gt;TaxEnd),"Outside tax year",IF(A992&lt;DATE(YEAR(TaxStart),7,6),"Q1",IF(A992&lt;DATE(YEAR(TaxStart),10,6),"Q2",IF(A992&lt;DATE(YEAR(TaxStart)+1,1,6),"Q3","Q4")))))</f>
        <v/>
      </c>
    </row>
    <row r="993">
      <c r="A993" s="8" t="n"/>
      <c r="B993" s="13" t="n"/>
      <c r="C993" s="13" t="n"/>
      <c r="D993" s="11" t="n"/>
      <c r="E993" s="7">
        <f>IF(A993="","",IF(OR(A993&lt;TaxStart,A993&gt;TaxEnd),"Outside tax year",IF(A993&lt;DATE(YEAR(TaxStart),7,6),"Q1",IF(A993&lt;DATE(YEAR(TaxStart),10,6),"Q2",IF(A993&lt;DATE(YEAR(TaxStart)+1,1,6),"Q3","Q4")))))</f>
        <v/>
      </c>
    </row>
    <row r="994">
      <c r="A994" s="8" t="n"/>
      <c r="B994" s="13" t="n"/>
      <c r="C994" s="13" t="n"/>
      <c r="D994" s="11" t="n"/>
      <c r="E994" s="7">
        <f>IF(A994="","",IF(OR(A994&lt;TaxStart,A994&gt;TaxEnd),"Outside tax year",IF(A994&lt;DATE(YEAR(TaxStart),7,6),"Q1",IF(A994&lt;DATE(YEAR(TaxStart),10,6),"Q2",IF(A994&lt;DATE(YEAR(TaxStart)+1,1,6),"Q3","Q4")))))</f>
        <v/>
      </c>
    </row>
    <row r="995">
      <c r="A995" s="8" t="n"/>
      <c r="B995" s="13" t="n"/>
      <c r="C995" s="13" t="n"/>
      <c r="D995" s="11" t="n"/>
      <c r="E995" s="7">
        <f>IF(A995="","",IF(OR(A995&lt;TaxStart,A995&gt;TaxEnd),"Outside tax year",IF(A995&lt;DATE(YEAR(TaxStart),7,6),"Q1",IF(A995&lt;DATE(YEAR(TaxStart),10,6),"Q2",IF(A995&lt;DATE(YEAR(TaxStart)+1,1,6),"Q3","Q4")))))</f>
        <v/>
      </c>
    </row>
    <row r="996">
      <c r="A996" s="8" t="n"/>
      <c r="B996" s="13" t="n"/>
      <c r="C996" s="13" t="n"/>
      <c r="D996" s="11" t="n"/>
      <c r="E996" s="7">
        <f>IF(A996="","",IF(OR(A996&lt;TaxStart,A996&gt;TaxEnd),"Outside tax year",IF(A996&lt;DATE(YEAR(TaxStart),7,6),"Q1",IF(A996&lt;DATE(YEAR(TaxStart),10,6),"Q2",IF(A996&lt;DATE(YEAR(TaxStart)+1,1,6),"Q3","Q4")))))</f>
        <v/>
      </c>
    </row>
    <row r="997">
      <c r="A997" s="8" t="n"/>
      <c r="B997" s="13" t="n"/>
      <c r="C997" s="13" t="n"/>
      <c r="D997" s="11" t="n"/>
      <c r="E997" s="7">
        <f>IF(A997="","",IF(OR(A997&lt;TaxStart,A997&gt;TaxEnd),"Outside tax year",IF(A997&lt;DATE(YEAR(TaxStart),7,6),"Q1",IF(A997&lt;DATE(YEAR(TaxStart),10,6),"Q2",IF(A997&lt;DATE(YEAR(TaxStart)+1,1,6),"Q3","Q4")))))</f>
        <v/>
      </c>
    </row>
    <row r="998">
      <c r="A998" s="8" t="n"/>
      <c r="B998" s="13" t="n"/>
      <c r="C998" s="13" t="n"/>
      <c r="D998" s="11" t="n"/>
      <c r="E998" s="7">
        <f>IF(A998="","",IF(OR(A998&lt;TaxStart,A998&gt;TaxEnd),"Outside tax year",IF(A998&lt;DATE(YEAR(TaxStart),7,6),"Q1",IF(A998&lt;DATE(YEAR(TaxStart),10,6),"Q2",IF(A998&lt;DATE(YEAR(TaxStart)+1,1,6),"Q3","Q4")))))</f>
        <v/>
      </c>
    </row>
    <row r="999">
      <c r="A999" s="8" t="n"/>
      <c r="B999" s="13" t="n"/>
      <c r="C999" s="13" t="n"/>
      <c r="D999" s="11" t="n"/>
      <c r="E999" s="7">
        <f>IF(A999="","",IF(OR(A999&lt;TaxStart,A999&gt;TaxEnd),"Outside tax year",IF(A999&lt;DATE(YEAR(TaxStart),7,6),"Q1",IF(A999&lt;DATE(YEAR(TaxStart),10,6),"Q2",IF(A999&lt;DATE(YEAR(TaxStart)+1,1,6),"Q3","Q4")))))</f>
        <v/>
      </c>
    </row>
    <row r="1000">
      <c r="A1000" s="8" t="n"/>
      <c r="B1000" s="13" t="n"/>
      <c r="C1000" s="13" t="n"/>
      <c r="D1000" s="11" t="n"/>
      <c r="E1000" s="7">
        <f>IF(A1000="","",IF(OR(A1000&lt;TaxStart,A1000&gt;TaxEnd),"Outside tax year",IF(A1000&lt;DATE(YEAR(TaxStart),7,6),"Q1",IF(A1000&lt;DATE(YEAR(TaxStart),10,6),"Q2",IF(A1000&lt;DATE(YEAR(TaxStart)+1,1,6),"Q3","Q4")))))</f>
        <v/>
      </c>
    </row>
    <row r="1001">
      <c r="A1001" s="8" t="n"/>
      <c r="B1001" s="13" t="n"/>
      <c r="C1001" s="13" t="n"/>
      <c r="D1001" s="11" t="n"/>
      <c r="E1001" s="7">
        <f>IF(A1001="","",IF(OR(A1001&lt;TaxStart,A1001&gt;TaxEnd),"Outside tax year",IF(A1001&lt;DATE(YEAR(TaxStart),7,6),"Q1",IF(A1001&lt;DATE(YEAR(TaxStart),10,6),"Q2",IF(A1001&lt;DATE(YEAR(TaxStart)+1,1,6),"Q3","Q4")))))</f>
        <v/>
      </c>
    </row>
    <row r="1002">
      <c r="A1002" s="8" t="n"/>
      <c r="B1002" s="13" t="n"/>
      <c r="C1002" s="13" t="n"/>
      <c r="D1002" s="11" t="n"/>
      <c r="E1002" s="7">
        <f>IF(A1002="","",IF(OR(A1002&lt;TaxStart,A1002&gt;TaxEnd),"Outside tax year",IF(A1002&lt;DATE(YEAR(TaxStart),7,6),"Q1",IF(A1002&lt;DATE(YEAR(TaxStart),10,6),"Q2",IF(A1002&lt;DATE(YEAR(TaxStart)+1,1,6),"Q3","Q4")))))</f>
        <v/>
      </c>
    </row>
    <row r="1003">
      <c r="A1003" s="8" t="n"/>
      <c r="B1003" s="13" t="n"/>
      <c r="C1003" s="13" t="n"/>
      <c r="D1003" s="11" t="n"/>
      <c r="E1003" s="7">
        <f>IF(A1003="","",IF(OR(A1003&lt;TaxStart,A1003&gt;TaxEnd),"Outside tax year",IF(A1003&lt;DATE(YEAR(TaxStart),7,6),"Q1",IF(A1003&lt;DATE(YEAR(TaxStart),10,6),"Q2",IF(A1003&lt;DATE(YEAR(TaxStart)+1,1,6),"Q3","Q4")))))</f>
        <v/>
      </c>
    </row>
    <row r="1004">
      <c r="A1004" s="8" t="n"/>
      <c r="B1004" s="13" t="n"/>
      <c r="C1004" s="13" t="n"/>
      <c r="D1004" s="11" t="n"/>
      <c r="E1004" s="7">
        <f>IF(A1004="","",IF(OR(A1004&lt;TaxStart,A1004&gt;TaxEnd),"Outside tax year",IF(A1004&lt;DATE(YEAR(TaxStart),7,6),"Q1",IF(A1004&lt;DATE(YEAR(TaxStart),10,6),"Q2",IF(A1004&lt;DATE(YEAR(TaxStart)+1,1,6),"Q3","Q4")))))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4"/>
  <sheetViews>
    <sheetView workbookViewId="0">
      <pane ySplit="4" topLeftCell="A5" activePane="bottomLeft" state="frozen"/>
      <selection pane="bottomLeft" activeCell="A1" sqref="A1"/>
    </sheetView>
  </sheetViews>
  <sheetFormatPr baseColWidth="8" defaultRowHeight="15"/>
  <cols>
    <col width="14" customWidth="1" min="1" max="1"/>
    <col width="28" customWidth="1" min="2" max="2"/>
    <col width="40" customWidth="1" min="3" max="3"/>
    <col width="36" customWidth="1" min="4" max="4"/>
    <col width="16" customWidth="1" min="5" max="5"/>
    <col width="18" customWidth="1" min="6" max="6"/>
  </cols>
  <sheetData>
    <row r="1">
      <c r="A1" s="1" t="inlineStr">
        <is>
          <t>Expenses</t>
        </is>
      </c>
    </row>
    <row r="2">
      <c r="A2" s="2" t="inlineStr">
        <is>
          <t>Allowable business costs - pick a category from the drop-down</t>
        </is>
      </c>
    </row>
    <row r="4">
      <c r="A4" s="5" t="inlineStr">
        <is>
          <t>Date</t>
        </is>
      </c>
      <c r="B4" s="5" t="inlineStr">
        <is>
          <t>Supplier</t>
        </is>
      </c>
      <c r="C4" s="5" t="inlineStr">
        <is>
          <t>Description</t>
        </is>
      </c>
      <c r="D4" s="5" t="inlineStr">
        <is>
          <t>Category</t>
        </is>
      </c>
      <c r="E4" s="5" t="inlineStr">
        <is>
          <t>Amount (£)</t>
        </is>
      </c>
      <c r="F4" s="5" t="inlineStr">
        <is>
          <t>Quarter</t>
        </is>
      </c>
    </row>
    <row r="5">
      <c r="A5" s="8" t="n">
        <v>46143</v>
      </c>
      <c r="B5" s="13" t="inlineStr">
        <is>
          <t>Adobe</t>
        </is>
      </c>
      <c r="C5" s="13" t="inlineStr">
        <is>
          <t>Subscription</t>
        </is>
      </c>
      <c r="D5" s="13" t="inlineStr">
        <is>
          <t>Office, phone &amp; software</t>
        </is>
      </c>
      <c r="E5" s="11" t="n">
        <v>200</v>
      </c>
      <c r="F5" s="7">
        <f>IF(A5="","",IF(OR(A5&lt;TaxStart,A5&gt;TaxEnd),"Outside tax year",IF(A5&lt;DATE(YEAR(TaxStart),7,6),"Q1",IF(A5&lt;DATE(YEAR(TaxStart),10,6),"Q2",IF(A5&lt;DATE(YEAR(TaxStart)+1,1,6),"Q3","Q4")))))</f>
        <v/>
      </c>
    </row>
    <row r="6">
      <c r="A6" s="8" t="n">
        <v>46235</v>
      </c>
      <c r="B6" s="13" t="inlineStr">
        <is>
          <t>Google</t>
        </is>
      </c>
      <c r="C6" s="13" t="inlineStr">
        <is>
          <t>Ads</t>
        </is>
      </c>
      <c r="D6" s="13" t="inlineStr">
        <is>
          <t>Advertising &amp; marketing</t>
        </is>
      </c>
      <c r="E6" s="11" t="n">
        <v>300</v>
      </c>
      <c r="F6" s="7">
        <f>IF(A6="","",IF(OR(A6&lt;TaxStart,A6&gt;TaxEnd),"Outside tax year",IF(A6&lt;DATE(YEAR(TaxStart),7,6),"Q1",IF(A6&lt;DATE(YEAR(TaxStart),10,6),"Q2",IF(A6&lt;DATE(YEAR(TaxStart)+1,1,6),"Q3","Q4")))))</f>
        <v/>
      </c>
    </row>
    <row r="7">
      <c r="A7" s="8" t="n">
        <v>46327</v>
      </c>
      <c r="B7" s="13" t="inlineStr">
        <is>
          <t>Train Co</t>
        </is>
      </c>
      <c r="C7" s="13" t="inlineStr">
        <is>
          <t>Travel</t>
        </is>
      </c>
      <c r="D7" s="13" t="inlineStr">
        <is>
          <t>Car, van &amp; travel</t>
        </is>
      </c>
      <c r="E7" s="11" t="n">
        <v>150</v>
      </c>
      <c r="F7" s="7">
        <f>IF(A7="","",IF(OR(A7&lt;TaxStart,A7&gt;TaxEnd),"Outside tax year",IF(A7&lt;DATE(YEAR(TaxStart),7,6),"Q1",IF(A7&lt;DATE(YEAR(TaxStart),10,6),"Q2",IF(A7&lt;DATE(YEAR(TaxStart)+1,1,6),"Q3","Q4")))))</f>
        <v/>
      </c>
    </row>
    <row r="8">
      <c r="A8" s="8" t="n">
        <v>46419</v>
      </c>
      <c r="B8" s="13" t="inlineStr">
        <is>
          <t>Accountant</t>
        </is>
      </c>
      <c r="C8" s="13" t="inlineStr">
        <is>
          <t>Fees</t>
        </is>
      </c>
      <c r="D8" s="13" t="inlineStr">
        <is>
          <t>Professional fees (accountant etc.)</t>
        </is>
      </c>
      <c r="E8" s="11" t="n">
        <v>350</v>
      </c>
      <c r="F8" s="7">
        <f>IF(A8="","",IF(OR(A8&lt;TaxStart,A8&gt;TaxEnd),"Outside tax year",IF(A8&lt;DATE(YEAR(TaxStart),7,6),"Q1",IF(A8&lt;DATE(YEAR(TaxStart),10,6),"Q2",IF(A8&lt;DATE(YEAR(TaxStart)+1,1,6),"Q3","Q4")))))</f>
        <v/>
      </c>
    </row>
    <row r="9">
      <c r="A9" s="8" t="n"/>
      <c r="B9" s="13" t="n"/>
      <c r="C9" s="13" t="n"/>
      <c r="D9" s="13" t="n"/>
      <c r="E9" s="11" t="n"/>
      <c r="F9" s="7">
        <f>IF(A9="","",IF(OR(A9&lt;TaxStart,A9&gt;TaxEnd),"Outside tax year",IF(A9&lt;DATE(YEAR(TaxStart),7,6),"Q1",IF(A9&lt;DATE(YEAR(TaxStart),10,6),"Q2",IF(A9&lt;DATE(YEAR(TaxStart)+1,1,6),"Q3","Q4")))))</f>
        <v/>
      </c>
    </row>
    <row r="10">
      <c r="A10" s="8" t="n"/>
      <c r="B10" s="13" t="n"/>
      <c r="C10" s="13" t="n"/>
      <c r="D10" s="13" t="n"/>
      <c r="E10" s="11" t="n"/>
      <c r="F10" s="7">
        <f>IF(A10="","",IF(OR(A10&lt;TaxStart,A10&gt;TaxEnd),"Outside tax year",IF(A10&lt;DATE(YEAR(TaxStart),7,6),"Q1",IF(A10&lt;DATE(YEAR(TaxStart),10,6),"Q2",IF(A10&lt;DATE(YEAR(TaxStart)+1,1,6),"Q3","Q4")))))</f>
        <v/>
      </c>
    </row>
    <row r="11">
      <c r="A11" s="8" t="n"/>
      <c r="B11" s="13" t="n"/>
      <c r="C11" s="13" t="n"/>
      <c r="D11" s="13" t="n"/>
      <c r="E11" s="11" t="n"/>
      <c r="F11" s="7">
        <f>IF(A11="","",IF(OR(A11&lt;TaxStart,A11&gt;TaxEnd),"Outside tax year",IF(A11&lt;DATE(YEAR(TaxStart),7,6),"Q1",IF(A11&lt;DATE(YEAR(TaxStart),10,6),"Q2",IF(A11&lt;DATE(YEAR(TaxStart)+1,1,6),"Q3","Q4")))))</f>
        <v/>
      </c>
    </row>
    <row r="12">
      <c r="A12" s="8" t="n"/>
      <c r="B12" s="13" t="n"/>
      <c r="C12" s="13" t="n"/>
      <c r="D12" s="13" t="n"/>
      <c r="E12" s="11" t="n"/>
      <c r="F12" s="7">
        <f>IF(A12="","",IF(OR(A12&lt;TaxStart,A12&gt;TaxEnd),"Outside tax year",IF(A12&lt;DATE(YEAR(TaxStart),7,6),"Q1",IF(A12&lt;DATE(YEAR(TaxStart),10,6),"Q2",IF(A12&lt;DATE(YEAR(TaxStart)+1,1,6),"Q3","Q4")))))</f>
        <v/>
      </c>
    </row>
    <row r="13">
      <c r="A13" s="8" t="n"/>
      <c r="B13" s="13" t="n"/>
      <c r="C13" s="13" t="n"/>
      <c r="D13" s="13" t="n"/>
      <c r="E13" s="11" t="n"/>
      <c r="F13" s="7">
        <f>IF(A13="","",IF(OR(A13&lt;TaxStart,A13&gt;TaxEnd),"Outside tax year",IF(A13&lt;DATE(YEAR(TaxStart),7,6),"Q1",IF(A13&lt;DATE(YEAR(TaxStart),10,6),"Q2",IF(A13&lt;DATE(YEAR(TaxStart)+1,1,6),"Q3","Q4")))))</f>
        <v/>
      </c>
    </row>
    <row r="14">
      <c r="A14" s="8" t="n"/>
      <c r="B14" s="13" t="n"/>
      <c r="C14" s="13" t="n"/>
      <c r="D14" s="13" t="n"/>
      <c r="E14" s="11" t="n"/>
      <c r="F14" s="7">
        <f>IF(A14="","",IF(OR(A14&lt;TaxStart,A14&gt;TaxEnd),"Outside tax year",IF(A14&lt;DATE(YEAR(TaxStart),7,6),"Q1",IF(A14&lt;DATE(YEAR(TaxStart),10,6),"Q2",IF(A14&lt;DATE(YEAR(TaxStart)+1,1,6),"Q3","Q4")))))</f>
        <v/>
      </c>
    </row>
    <row r="15">
      <c r="A15" s="8" t="n"/>
      <c r="B15" s="13" t="n"/>
      <c r="C15" s="13" t="n"/>
      <c r="D15" s="13" t="n"/>
      <c r="E15" s="11" t="n"/>
      <c r="F15" s="7">
        <f>IF(A15="","",IF(OR(A15&lt;TaxStart,A15&gt;TaxEnd),"Outside tax year",IF(A15&lt;DATE(YEAR(TaxStart),7,6),"Q1",IF(A15&lt;DATE(YEAR(TaxStart),10,6),"Q2",IF(A15&lt;DATE(YEAR(TaxStart)+1,1,6),"Q3","Q4")))))</f>
        <v/>
      </c>
    </row>
    <row r="16">
      <c r="A16" s="8" t="n"/>
      <c r="B16" s="13" t="n"/>
      <c r="C16" s="13" t="n"/>
      <c r="D16" s="13" t="n"/>
      <c r="E16" s="11" t="n"/>
      <c r="F16" s="7">
        <f>IF(A16="","",IF(OR(A16&lt;TaxStart,A16&gt;TaxEnd),"Outside tax year",IF(A16&lt;DATE(YEAR(TaxStart),7,6),"Q1",IF(A16&lt;DATE(YEAR(TaxStart),10,6),"Q2",IF(A16&lt;DATE(YEAR(TaxStart)+1,1,6),"Q3","Q4")))))</f>
        <v/>
      </c>
    </row>
    <row r="17">
      <c r="A17" s="8" t="n"/>
      <c r="B17" s="13" t="n"/>
      <c r="C17" s="13" t="n"/>
      <c r="D17" s="13" t="n"/>
      <c r="E17" s="11" t="n"/>
      <c r="F17" s="7">
        <f>IF(A17="","",IF(OR(A17&lt;TaxStart,A17&gt;TaxEnd),"Outside tax year",IF(A17&lt;DATE(YEAR(TaxStart),7,6),"Q1",IF(A17&lt;DATE(YEAR(TaxStart),10,6),"Q2",IF(A17&lt;DATE(YEAR(TaxStart)+1,1,6),"Q3","Q4")))))</f>
        <v/>
      </c>
    </row>
    <row r="18">
      <c r="A18" s="8" t="n"/>
      <c r="B18" s="13" t="n"/>
      <c r="C18" s="13" t="n"/>
      <c r="D18" s="13" t="n"/>
      <c r="E18" s="11" t="n"/>
      <c r="F18" s="7">
        <f>IF(A18="","",IF(OR(A18&lt;TaxStart,A18&gt;TaxEnd),"Outside tax year",IF(A18&lt;DATE(YEAR(TaxStart),7,6),"Q1",IF(A18&lt;DATE(YEAR(TaxStart),10,6),"Q2",IF(A18&lt;DATE(YEAR(TaxStart)+1,1,6),"Q3","Q4")))))</f>
        <v/>
      </c>
    </row>
    <row r="19">
      <c r="A19" s="8" t="n"/>
      <c r="B19" s="13" t="n"/>
      <c r="C19" s="13" t="n"/>
      <c r="D19" s="13" t="n"/>
      <c r="E19" s="11" t="n"/>
      <c r="F19" s="7">
        <f>IF(A19="","",IF(OR(A19&lt;TaxStart,A19&gt;TaxEnd),"Outside tax year",IF(A19&lt;DATE(YEAR(TaxStart),7,6),"Q1",IF(A19&lt;DATE(YEAR(TaxStart),10,6),"Q2",IF(A19&lt;DATE(YEAR(TaxStart)+1,1,6),"Q3","Q4")))))</f>
        <v/>
      </c>
    </row>
    <row r="20">
      <c r="A20" s="8" t="n"/>
      <c r="B20" s="13" t="n"/>
      <c r="C20" s="13" t="n"/>
      <c r="D20" s="13" t="n"/>
      <c r="E20" s="11" t="n"/>
      <c r="F20" s="7">
        <f>IF(A20="","",IF(OR(A20&lt;TaxStart,A20&gt;TaxEnd),"Outside tax year",IF(A20&lt;DATE(YEAR(TaxStart),7,6),"Q1",IF(A20&lt;DATE(YEAR(TaxStart),10,6),"Q2",IF(A20&lt;DATE(YEAR(TaxStart)+1,1,6),"Q3","Q4")))))</f>
        <v/>
      </c>
    </row>
    <row r="21">
      <c r="A21" s="8" t="n"/>
      <c r="B21" s="13" t="n"/>
      <c r="C21" s="13" t="n"/>
      <c r="D21" s="13" t="n"/>
      <c r="E21" s="11" t="n"/>
      <c r="F21" s="7">
        <f>IF(A21="","",IF(OR(A21&lt;TaxStart,A21&gt;TaxEnd),"Outside tax year",IF(A21&lt;DATE(YEAR(TaxStart),7,6),"Q1",IF(A21&lt;DATE(YEAR(TaxStart),10,6),"Q2",IF(A21&lt;DATE(YEAR(TaxStart)+1,1,6),"Q3","Q4")))))</f>
        <v/>
      </c>
    </row>
    <row r="22">
      <c r="A22" s="8" t="n"/>
      <c r="B22" s="13" t="n"/>
      <c r="C22" s="13" t="n"/>
      <c r="D22" s="13" t="n"/>
      <c r="E22" s="11" t="n"/>
      <c r="F22" s="7">
        <f>IF(A22="","",IF(OR(A22&lt;TaxStart,A22&gt;TaxEnd),"Outside tax year",IF(A22&lt;DATE(YEAR(TaxStart),7,6),"Q1",IF(A22&lt;DATE(YEAR(TaxStart),10,6),"Q2",IF(A22&lt;DATE(YEAR(TaxStart)+1,1,6),"Q3","Q4")))))</f>
        <v/>
      </c>
    </row>
    <row r="23">
      <c r="A23" s="8" t="n"/>
      <c r="B23" s="13" t="n"/>
      <c r="C23" s="13" t="n"/>
      <c r="D23" s="13" t="n"/>
      <c r="E23" s="11" t="n"/>
      <c r="F23" s="7">
        <f>IF(A23="","",IF(OR(A23&lt;TaxStart,A23&gt;TaxEnd),"Outside tax year",IF(A23&lt;DATE(YEAR(TaxStart),7,6),"Q1",IF(A23&lt;DATE(YEAR(TaxStart),10,6),"Q2",IF(A23&lt;DATE(YEAR(TaxStart)+1,1,6),"Q3","Q4")))))</f>
        <v/>
      </c>
    </row>
    <row r="24">
      <c r="A24" s="8" t="n"/>
      <c r="B24" s="13" t="n"/>
      <c r="C24" s="13" t="n"/>
      <c r="D24" s="13" t="n"/>
      <c r="E24" s="11" t="n"/>
      <c r="F24" s="7">
        <f>IF(A24="","",IF(OR(A24&lt;TaxStart,A24&gt;TaxEnd),"Outside tax year",IF(A24&lt;DATE(YEAR(TaxStart),7,6),"Q1",IF(A24&lt;DATE(YEAR(TaxStart),10,6),"Q2",IF(A24&lt;DATE(YEAR(TaxStart)+1,1,6),"Q3","Q4")))))</f>
        <v/>
      </c>
    </row>
    <row r="25">
      <c r="A25" s="8" t="n"/>
      <c r="B25" s="13" t="n"/>
      <c r="C25" s="13" t="n"/>
      <c r="D25" s="13" t="n"/>
      <c r="E25" s="11" t="n"/>
      <c r="F25" s="7">
        <f>IF(A25="","",IF(OR(A25&lt;TaxStart,A25&gt;TaxEnd),"Outside tax year",IF(A25&lt;DATE(YEAR(TaxStart),7,6),"Q1",IF(A25&lt;DATE(YEAR(TaxStart),10,6),"Q2",IF(A25&lt;DATE(YEAR(TaxStart)+1,1,6),"Q3","Q4")))))</f>
        <v/>
      </c>
    </row>
    <row r="26">
      <c r="A26" s="8" t="n"/>
      <c r="B26" s="13" t="n"/>
      <c r="C26" s="13" t="n"/>
      <c r="D26" s="13" t="n"/>
      <c r="E26" s="11" t="n"/>
      <c r="F26" s="7">
        <f>IF(A26="","",IF(OR(A26&lt;TaxStart,A26&gt;TaxEnd),"Outside tax year",IF(A26&lt;DATE(YEAR(TaxStart),7,6),"Q1",IF(A26&lt;DATE(YEAR(TaxStart),10,6),"Q2",IF(A26&lt;DATE(YEAR(TaxStart)+1,1,6),"Q3","Q4")))))</f>
        <v/>
      </c>
    </row>
    <row r="27">
      <c r="A27" s="8" t="n"/>
      <c r="B27" s="13" t="n"/>
      <c r="C27" s="13" t="n"/>
      <c r="D27" s="13" t="n"/>
      <c r="E27" s="11" t="n"/>
      <c r="F27" s="7">
        <f>IF(A27="","",IF(OR(A27&lt;TaxStart,A27&gt;TaxEnd),"Outside tax year",IF(A27&lt;DATE(YEAR(TaxStart),7,6),"Q1",IF(A27&lt;DATE(YEAR(TaxStart),10,6),"Q2",IF(A27&lt;DATE(YEAR(TaxStart)+1,1,6),"Q3","Q4")))))</f>
        <v/>
      </c>
    </row>
    <row r="28">
      <c r="A28" s="8" t="n"/>
      <c r="B28" s="13" t="n"/>
      <c r="C28" s="13" t="n"/>
      <c r="D28" s="13" t="n"/>
      <c r="E28" s="11" t="n"/>
      <c r="F28" s="7">
        <f>IF(A28="","",IF(OR(A28&lt;TaxStart,A28&gt;TaxEnd),"Outside tax year",IF(A28&lt;DATE(YEAR(TaxStart),7,6),"Q1",IF(A28&lt;DATE(YEAR(TaxStart),10,6),"Q2",IF(A28&lt;DATE(YEAR(TaxStart)+1,1,6),"Q3","Q4")))))</f>
        <v/>
      </c>
    </row>
    <row r="29">
      <c r="A29" s="8" t="n"/>
      <c r="B29" s="13" t="n"/>
      <c r="C29" s="13" t="n"/>
      <c r="D29" s="13" t="n"/>
      <c r="E29" s="11" t="n"/>
      <c r="F29" s="7">
        <f>IF(A29="","",IF(OR(A29&lt;TaxStart,A29&gt;TaxEnd),"Outside tax year",IF(A29&lt;DATE(YEAR(TaxStart),7,6),"Q1",IF(A29&lt;DATE(YEAR(TaxStart),10,6),"Q2",IF(A29&lt;DATE(YEAR(TaxStart)+1,1,6),"Q3","Q4")))))</f>
        <v/>
      </c>
    </row>
    <row r="30">
      <c r="A30" s="8" t="n"/>
      <c r="B30" s="13" t="n"/>
      <c r="C30" s="13" t="n"/>
      <c r="D30" s="13" t="n"/>
      <c r="E30" s="11" t="n"/>
      <c r="F30" s="7">
        <f>IF(A30="","",IF(OR(A30&lt;TaxStart,A30&gt;TaxEnd),"Outside tax year",IF(A30&lt;DATE(YEAR(TaxStart),7,6),"Q1",IF(A30&lt;DATE(YEAR(TaxStart),10,6),"Q2",IF(A30&lt;DATE(YEAR(TaxStart)+1,1,6),"Q3","Q4")))))</f>
        <v/>
      </c>
    </row>
    <row r="31">
      <c r="A31" s="8" t="n"/>
      <c r="B31" s="13" t="n"/>
      <c r="C31" s="13" t="n"/>
      <c r="D31" s="13" t="n"/>
      <c r="E31" s="11" t="n"/>
      <c r="F31" s="7">
        <f>IF(A31="","",IF(OR(A31&lt;TaxStart,A31&gt;TaxEnd),"Outside tax year",IF(A31&lt;DATE(YEAR(TaxStart),7,6),"Q1",IF(A31&lt;DATE(YEAR(TaxStart),10,6),"Q2",IF(A31&lt;DATE(YEAR(TaxStart)+1,1,6),"Q3","Q4")))))</f>
        <v/>
      </c>
    </row>
    <row r="32">
      <c r="A32" s="8" t="n"/>
      <c r="B32" s="13" t="n"/>
      <c r="C32" s="13" t="n"/>
      <c r="D32" s="13" t="n"/>
      <c r="E32" s="11" t="n"/>
      <c r="F32" s="7">
        <f>IF(A32="","",IF(OR(A32&lt;TaxStart,A32&gt;TaxEnd),"Outside tax year",IF(A32&lt;DATE(YEAR(TaxStart),7,6),"Q1",IF(A32&lt;DATE(YEAR(TaxStart),10,6),"Q2",IF(A32&lt;DATE(YEAR(TaxStart)+1,1,6),"Q3","Q4")))))</f>
        <v/>
      </c>
    </row>
    <row r="33">
      <c r="A33" s="8" t="n"/>
      <c r="B33" s="13" t="n"/>
      <c r="C33" s="13" t="n"/>
      <c r="D33" s="13" t="n"/>
      <c r="E33" s="11" t="n"/>
      <c r="F33" s="7">
        <f>IF(A33="","",IF(OR(A33&lt;TaxStart,A33&gt;TaxEnd),"Outside tax year",IF(A33&lt;DATE(YEAR(TaxStart),7,6),"Q1",IF(A33&lt;DATE(YEAR(TaxStart),10,6),"Q2",IF(A33&lt;DATE(YEAR(TaxStart)+1,1,6),"Q3","Q4")))))</f>
        <v/>
      </c>
    </row>
    <row r="34">
      <c r="A34" s="8" t="n"/>
      <c r="B34" s="13" t="n"/>
      <c r="C34" s="13" t="n"/>
      <c r="D34" s="13" t="n"/>
      <c r="E34" s="11" t="n"/>
      <c r="F34" s="7">
        <f>IF(A34="","",IF(OR(A34&lt;TaxStart,A34&gt;TaxEnd),"Outside tax year",IF(A34&lt;DATE(YEAR(TaxStart),7,6),"Q1",IF(A34&lt;DATE(YEAR(TaxStart),10,6),"Q2",IF(A34&lt;DATE(YEAR(TaxStart)+1,1,6),"Q3","Q4")))))</f>
        <v/>
      </c>
    </row>
    <row r="35">
      <c r="A35" s="8" t="n"/>
      <c r="B35" s="13" t="n"/>
      <c r="C35" s="13" t="n"/>
      <c r="D35" s="13" t="n"/>
      <c r="E35" s="11" t="n"/>
      <c r="F35" s="7">
        <f>IF(A35="","",IF(OR(A35&lt;TaxStart,A35&gt;TaxEnd),"Outside tax year",IF(A35&lt;DATE(YEAR(TaxStart),7,6),"Q1",IF(A35&lt;DATE(YEAR(TaxStart),10,6),"Q2",IF(A35&lt;DATE(YEAR(TaxStart)+1,1,6),"Q3","Q4")))))</f>
        <v/>
      </c>
    </row>
    <row r="36">
      <c r="A36" s="8" t="n"/>
      <c r="B36" s="13" t="n"/>
      <c r="C36" s="13" t="n"/>
      <c r="D36" s="13" t="n"/>
      <c r="E36" s="11" t="n"/>
      <c r="F36" s="7">
        <f>IF(A36="","",IF(OR(A36&lt;TaxStart,A36&gt;TaxEnd),"Outside tax year",IF(A36&lt;DATE(YEAR(TaxStart),7,6),"Q1",IF(A36&lt;DATE(YEAR(TaxStart),10,6),"Q2",IF(A36&lt;DATE(YEAR(TaxStart)+1,1,6),"Q3","Q4")))))</f>
        <v/>
      </c>
    </row>
    <row r="37">
      <c r="A37" s="8" t="n"/>
      <c r="B37" s="13" t="n"/>
      <c r="C37" s="13" t="n"/>
      <c r="D37" s="13" t="n"/>
      <c r="E37" s="11" t="n"/>
      <c r="F37" s="7">
        <f>IF(A37="","",IF(OR(A37&lt;TaxStart,A37&gt;TaxEnd),"Outside tax year",IF(A37&lt;DATE(YEAR(TaxStart),7,6),"Q1",IF(A37&lt;DATE(YEAR(TaxStart),10,6),"Q2",IF(A37&lt;DATE(YEAR(TaxStart)+1,1,6),"Q3","Q4")))))</f>
        <v/>
      </c>
    </row>
    <row r="38">
      <c r="A38" s="8" t="n"/>
      <c r="B38" s="13" t="n"/>
      <c r="C38" s="13" t="n"/>
      <c r="D38" s="13" t="n"/>
      <c r="E38" s="11" t="n"/>
      <c r="F38" s="7">
        <f>IF(A38="","",IF(OR(A38&lt;TaxStart,A38&gt;TaxEnd),"Outside tax year",IF(A38&lt;DATE(YEAR(TaxStart),7,6),"Q1",IF(A38&lt;DATE(YEAR(TaxStart),10,6),"Q2",IF(A38&lt;DATE(YEAR(TaxStart)+1,1,6),"Q3","Q4")))))</f>
        <v/>
      </c>
    </row>
    <row r="39">
      <c r="A39" s="8" t="n"/>
      <c r="B39" s="13" t="n"/>
      <c r="C39" s="13" t="n"/>
      <c r="D39" s="13" t="n"/>
      <c r="E39" s="11" t="n"/>
      <c r="F39" s="7">
        <f>IF(A39="","",IF(OR(A39&lt;TaxStart,A39&gt;TaxEnd),"Outside tax year",IF(A39&lt;DATE(YEAR(TaxStart),7,6),"Q1",IF(A39&lt;DATE(YEAR(TaxStart),10,6),"Q2",IF(A39&lt;DATE(YEAR(TaxStart)+1,1,6),"Q3","Q4")))))</f>
        <v/>
      </c>
    </row>
    <row r="40">
      <c r="A40" s="8" t="n"/>
      <c r="B40" s="13" t="n"/>
      <c r="C40" s="13" t="n"/>
      <c r="D40" s="13" t="n"/>
      <c r="E40" s="11" t="n"/>
      <c r="F40" s="7">
        <f>IF(A40="","",IF(OR(A40&lt;TaxStart,A40&gt;TaxEnd),"Outside tax year",IF(A40&lt;DATE(YEAR(TaxStart),7,6),"Q1",IF(A40&lt;DATE(YEAR(TaxStart),10,6),"Q2",IF(A40&lt;DATE(YEAR(TaxStart)+1,1,6),"Q3","Q4")))))</f>
        <v/>
      </c>
    </row>
    <row r="41">
      <c r="A41" s="8" t="n"/>
      <c r="B41" s="13" t="n"/>
      <c r="C41" s="13" t="n"/>
      <c r="D41" s="13" t="n"/>
      <c r="E41" s="11" t="n"/>
      <c r="F41" s="7">
        <f>IF(A41="","",IF(OR(A41&lt;TaxStart,A41&gt;TaxEnd),"Outside tax year",IF(A41&lt;DATE(YEAR(TaxStart),7,6),"Q1",IF(A41&lt;DATE(YEAR(TaxStart),10,6),"Q2",IF(A41&lt;DATE(YEAR(TaxStart)+1,1,6),"Q3","Q4")))))</f>
        <v/>
      </c>
    </row>
    <row r="42">
      <c r="A42" s="8" t="n"/>
      <c r="B42" s="13" t="n"/>
      <c r="C42" s="13" t="n"/>
      <c r="D42" s="13" t="n"/>
      <c r="E42" s="11" t="n"/>
      <c r="F42" s="7">
        <f>IF(A42="","",IF(OR(A42&lt;TaxStart,A42&gt;TaxEnd),"Outside tax year",IF(A42&lt;DATE(YEAR(TaxStart),7,6),"Q1",IF(A42&lt;DATE(YEAR(TaxStart),10,6),"Q2",IF(A42&lt;DATE(YEAR(TaxStart)+1,1,6),"Q3","Q4")))))</f>
        <v/>
      </c>
    </row>
    <row r="43">
      <c r="A43" s="8" t="n"/>
      <c r="B43" s="13" t="n"/>
      <c r="C43" s="13" t="n"/>
      <c r="D43" s="13" t="n"/>
      <c r="E43" s="11" t="n"/>
      <c r="F43" s="7">
        <f>IF(A43="","",IF(OR(A43&lt;TaxStart,A43&gt;TaxEnd),"Outside tax year",IF(A43&lt;DATE(YEAR(TaxStart),7,6),"Q1",IF(A43&lt;DATE(YEAR(TaxStart),10,6),"Q2",IF(A43&lt;DATE(YEAR(TaxStart)+1,1,6),"Q3","Q4")))))</f>
        <v/>
      </c>
    </row>
    <row r="44">
      <c r="A44" s="8" t="n"/>
      <c r="B44" s="13" t="n"/>
      <c r="C44" s="13" t="n"/>
      <c r="D44" s="13" t="n"/>
      <c r="E44" s="11" t="n"/>
      <c r="F44" s="7">
        <f>IF(A44="","",IF(OR(A44&lt;TaxStart,A44&gt;TaxEnd),"Outside tax year",IF(A44&lt;DATE(YEAR(TaxStart),7,6),"Q1",IF(A44&lt;DATE(YEAR(TaxStart),10,6),"Q2",IF(A44&lt;DATE(YEAR(TaxStart)+1,1,6),"Q3","Q4")))))</f>
        <v/>
      </c>
    </row>
    <row r="45">
      <c r="A45" s="8" t="n"/>
      <c r="B45" s="13" t="n"/>
      <c r="C45" s="13" t="n"/>
      <c r="D45" s="13" t="n"/>
      <c r="E45" s="11" t="n"/>
      <c r="F45" s="7">
        <f>IF(A45="","",IF(OR(A45&lt;TaxStart,A45&gt;TaxEnd),"Outside tax year",IF(A45&lt;DATE(YEAR(TaxStart),7,6),"Q1",IF(A45&lt;DATE(YEAR(TaxStart),10,6),"Q2",IF(A45&lt;DATE(YEAR(TaxStart)+1,1,6),"Q3","Q4")))))</f>
        <v/>
      </c>
    </row>
    <row r="46">
      <c r="A46" s="8" t="n"/>
      <c r="B46" s="13" t="n"/>
      <c r="C46" s="13" t="n"/>
      <c r="D46" s="13" t="n"/>
      <c r="E46" s="11" t="n"/>
      <c r="F46" s="7">
        <f>IF(A46="","",IF(OR(A46&lt;TaxStart,A46&gt;TaxEnd),"Outside tax year",IF(A46&lt;DATE(YEAR(TaxStart),7,6),"Q1",IF(A46&lt;DATE(YEAR(TaxStart),10,6),"Q2",IF(A46&lt;DATE(YEAR(TaxStart)+1,1,6),"Q3","Q4")))))</f>
        <v/>
      </c>
    </row>
    <row r="47">
      <c r="A47" s="8" t="n"/>
      <c r="B47" s="13" t="n"/>
      <c r="C47" s="13" t="n"/>
      <c r="D47" s="13" t="n"/>
      <c r="E47" s="11" t="n"/>
      <c r="F47" s="7">
        <f>IF(A47="","",IF(OR(A47&lt;TaxStart,A47&gt;TaxEnd),"Outside tax year",IF(A47&lt;DATE(YEAR(TaxStart),7,6),"Q1",IF(A47&lt;DATE(YEAR(TaxStart),10,6),"Q2",IF(A47&lt;DATE(YEAR(TaxStart)+1,1,6),"Q3","Q4")))))</f>
        <v/>
      </c>
    </row>
    <row r="48">
      <c r="A48" s="8" t="n"/>
      <c r="B48" s="13" t="n"/>
      <c r="C48" s="13" t="n"/>
      <c r="D48" s="13" t="n"/>
      <c r="E48" s="11" t="n"/>
      <c r="F48" s="7">
        <f>IF(A48="","",IF(OR(A48&lt;TaxStart,A48&gt;TaxEnd),"Outside tax year",IF(A48&lt;DATE(YEAR(TaxStart),7,6),"Q1",IF(A48&lt;DATE(YEAR(TaxStart),10,6),"Q2",IF(A48&lt;DATE(YEAR(TaxStart)+1,1,6),"Q3","Q4")))))</f>
        <v/>
      </c>
    </row>
    <row r="49">
      <c r="A49" s="8" t="n"/>
      <c r="B49" s="13" t="n"/>
      <c r="C49" s="13" t="n"/>
      <c r="D49" s="13" t="n"/>
      <c r="E49" s="11" t="n"/>
      <c r="F49" s="7">
        <f>IF(A49="","",IF(OR(A49&lt;TaxStart,A49&gt;TaxEnd),"Outside tax year",IF(A49&lt;DATE(YEAR(TaxStart),7,6),"Q1",IF(A49&lt;DATE(YEAR(TaxStart),10,6),"Q2",IF(A49&lt;DATE(YEAR(TaxStart)+1,1,6),"Q3","Q4")))))</f>
        <v/>
      </c>
    </row>
    <row r="50">
      <c r="A50" s="8" t="n"/>
      <c r="B50" s="13" t="n"/>
      <c r="C50" s="13" t="n"/>
      <c r="D50" s="13" t="n"/>
      <c r="E50" s="11" t="n"/>
      <c r="F50" s="7">
        <f>IF(A50="","",IF(OR(A50&lt;TaxStart,A50&gt;TaxEnd),"Outside tax year",IF(A50&lt;DATE(YEAR(TaxStart),7,6),"Q1",IF(A50&lt;DATE(YEAR(TaxStart),10,6),"Q2",IF(A50&lt;DATE(YEAR(TaxStart)+1,1,6),"Q3","Q4")))))</f>
        <v/>
      </c>
    </row>
    <row r="51">
      <c r="A51" s="8" t="n"/>
      <c r="B51" s="13" t="n"/>
      <c r="C51" s="13" t="n"/>
      <c r="D51" s="13" t="n"/>
      <c r="E51" s="11" t="n"/>
      <c r="F51" s="7">
        <f>IF(A51="","",IF(OR(A51&lt;TaxStart,A51&gt;TaxEnd),"Outside tax year",IF(A51&lt;DATE(YEAR(TaxStart),7,6),"Q1",IF(A51&lt;DATE(YEAR(TaxStart),10,6),"Q2",IF(A51&lt;DATE(YEAR(TaxStart)+1,1,6),"Q3","Q4")))))</f>
        <v/>
      </c>
    </row>
    <row r="52">
      <c r="A52" s="8" t="n"/>
      <c r="B52" s="13" t="n"/>
      <c r="C52" s="13" t="n"/>
      <c r="D52" s="13" t="n"/>
      <c r="E52" s="11" t="n"/>
      <c r="F52" s="7">
        <f>IF(A52="","",IF(OR(A52&lt;TaxStart,A52&gt;TaxEnd),"Outside tax year",IF(A52&lt;DATE(YEAR(TaxStart),7,6),"Q1",IF(A52&lt;DATE(YEAR(TaxStart),10,6),"Q2",IF(A52&lt;DATE(YEAR(TaxStart)+1,1,6),"Q3","Q4")))))</f>
        <v/>
      </c>
    </row>
    <row r="53">
      <c r="A53" s="8" t="n"/>
      <c r="B53" s="13" t="n"/>
      <c r="C53" s="13" t="n"/>
      <c r="D53" s="13" t="n"/>
      <c r="E53" s="11" t="n"/>
      <c r="F53" s="7">
        <f>IF(A53="","",IF(OR(A53&lt;TaxStart,A53&gt;TaxEnd),"Outside tax year",IF(A53&lt;DATE(YEAR(TaxStart),7,6),"Q1",IF(A53&lt;DATE(YEAR(TaxStart),10,6),"Q2",IF(A53&lt;DATE(YEAR(TaxStart)+1,1,6),"Q3","Q4")))))</f>
        <v/>
      </c>
    </row>
    <row r="54">
      <c r="A54" s="8" t="n"/>
      <c r="B54" s="13" t="n"/>
      <c r="C54" s="13" t="n"/>
      <c r="D54" s="13" t="n"/>
      <c r="E54" s="11" t="n"/>
      <c r="F54" s="7">
        <f>IF(A54="","",IF(OR(A54&lt;TaxStart,A54&gt;TaxEnd),"Outside tax year",IF(A54&lt;DATE(YEAR(TaxStart),7,6),"Q1",IF(A54&lt;DATE(YEAR(TaxStart),10,6),"Q2",IF(A54&lt;DATE(YEAR(TaxStart)+1,1,6),"Q3","Q4")))))</f>
        <v/>
      </c>
    </row>
    <row r="55">
      <c r="A55" s="8" t="n"/>
      <c r="B55" s="13" t="n"/>
      <c r="C55" s="13" t="n"/>
      <c r="D55" s="13" t="n"/>
      <c r="E55" s="11" t="n"/>
      <c r="F55" s="7">
        <f>IF(A55="","",IF(OR(A55&lt;TaxStart,A55&gt;TaxEnd),"Outside tax year",IF(A55&lt;DATE(YEAR(TaxStart),7,6),"Q1",IF(A55&lt;DATE(YEAR(TaxStart),10,6),"Q2",IF(A55&lt;DATE(YEAR(TaxStart)+1,1,6),"Q3","Q4")))))</f>
        <v/>
      </c>
    </row>
    <row r="56">
      <c r="A56" s="8" t="n"/>
      <c r="B56" s="13" t="n"/>
      <c r="C56" s="13" t="n"/>
      <c r="D56" s="13" t="n"/>
      <c r="E56" s="11" t="n"/>
      <c r="F56" s="7">
        <f>IF(A56="","",IF(OR(A56&lt;TaxStart,A56&gt;TaxEnd),"Outside tax year",IF(A56&lt;DATE(YEAR(TaxStart),7,6),"Q1",IF(A56&lt;DATE(YEAR(TaxStart),10,6),"Q2",IF(A56&lt;DATE(YEAR(TaxStart)+1,1,6),"Q3","Q4")))))</f>
        <v/>
      </c>
    </row>
    <row r="57">
      <c r="A57" s="8" t="n"/>
      <c r="B57" s="13" t="n"/>
      <c r="C57" s="13" t="n"/>
      <c r="D57" s="13" t="n"/>
      <c r="E57" s="11" t="n"/>
      <c r="F57" s="7">
        <f>IF(A57="","",IF(OR(A57&lt;TaxStart,A57&gt;TaxEnd),"Outside tax year",IF(A57&lt;DATE(YEAR(TaxStart),7,6),"Q1",IF(A57&lt;DATE(YEAR(TaxStart),10,6),"Q2",IF(A57&lt;DATE(YEAR(TaxStart)+1,1,6),"Q3","Q4")))))</f>
        <v/>
      </c>
    </row>
    <row r="58">
      <c r="A58" s="8" t="n"/>
      <c r="B58" s="13" t="n"/>
      <c r="C58" s="13" t="n"/>
      <c r="D58" s="13" t="n"/>
      <c r="E58" s="11" t="n"/>
      <c r="F58" s="7">
        <f>IF(A58="","",IF(OR(A58&lt;TaxStart,A58&gt;TaxEnd),"Outside tax year",IF(A58&lt;DATE(YEAR(TaxStart),7,6),"Q1",IF(A58&lt;DATE(YEAR(TaxStart),10,6),"Q2",IF(A58&lt;DATE(YEAR(TaxStart)+1,1,6),"Q3","Q4")))))</f>
        <v/>
      </c>
    </row>
    <row r="59">
      <c r="A59" s="8" t="n"/>
      <c r="B59" s="13" t="n"/>
      <c r="C59" s="13" t="n"/>
      <c r="D59" s="13" t="n"/>
      <c r="E59" s="11" t="n"/>
      <c r="F59" s="7">
        <f>IF(A59="","",IF(OR(A59&lt;TaxStart,A59&gt;TaxEnd),"Outside tax year",IF(A59&lt;DATE(YEAR(TaxStart),7,6),"Q1",IF(A59&lt;DATE(YEAR(TaxStart),10,6),"Q2",IF(A59&lt;DATE(YEAR(TaxStart)+1,1,6),"Q3","Q4")))))</f>
        <v/>
      </c>
    </row>
    <row r="60">
      <c r="A60" s="8" t="n"/>
      <c r="B60" s="13" t="n"/>
      <c r="C60" s="13" t="n"/>
      <c r="D60" s="13" t="n"/>
      <c r="E60" s="11" t="n"/>
      <c r="F60" s="7">
        <f>IF(A60="","",IF(OR(A60&lt;TaxStart,A60&gt;TaxEnd),"Outside tax year",IF(A60&lt;DATE(YEAR(TaxStart),7,6),"Q1",IF(A60&lt;DATE(YEAR(TaxStart),10,6),"Q2",IF(A60&lt;DATE(YEAR(TaxStart)+1,1,6),"Q3","Q4")))))</f>
        <v/>
      </c>
    </row>
    <row r="61">
      <c r="A61" s="8" t="n"/>
      <c r="B61" s="13" t="n"/>
      <c r="C61" s="13" t="n"/>
      <c r="D61" s="13" t="n"/>
      <c r="E61" s="11" t="n"/>
      <c r="F61" s="7">
        <f>IF(A61="","",IF(OR(A61&lt;TaxStart,A61&gt;TaxEnd),"Outside tax year",IF(A61&lt;DATE(YEAR(TaxStart),7,6),"Q1",IF(A61&lt;DATE(YEAR(TaxStart),10,6),"Q2",IF(A61&lt;DATE(YEAR(TaxStart)+1,1,6),"Q3","Q4")))))</f>
        <v/>
      </c>
    </row>
    <row r="62">
      <c r="A62" s="8" t="n"/>
      <c r="B62" s="13" t="n"/>
      <c r="C62" s="13" t="n"/>
      <c r="D62" s="13" t="n"/>
      <c r="E62" s="11" t="n"/>
      <c r="F62" s="7">
        <f>IF(A62="","",IF(OR(A62&lt;TaxStart,A62&gt;TaxEnd),"Outside tax year",IF(A62&lt;DATE(YEAR(TaxStart),7,6),"Q1",IF(A62&lt;DATE(YEAR(TaxStart),10,6),"Q2",IF(A62&lt;DATE(YEAR(TaxStart)+1,1,6),"Q3","Q4")))))</f>
        <v/>
      </c>
    </row>
    <row r="63">
      <c r="A63" s="8" t="n"/>
      <c r="B63" s="13" t="n"/>
      <c r="C63" s="13" t="n"/>
      <c r="D63" s="13" t="n"/>
      <c r="E63" s="11" t="n"/>
      <c r="F63" s="7">
        <f>IF(A63="","",IF(OR(A63&lt;TaxStart,A63&gt;TaxEnd),"Outside tax year",IF(A63&lt;DATE(YEAR(TaxStart),7,6),"Q1",IF(A63&lt;DATE(YEAR(TaxStart),10,6),"Q2",IF(A63&lt;DATE(YEAR(TaxStart)+1,1,6),"Q3","Q4")))))</f>
        <v/>
      </c>
    </row>
    <row r="64">
      <c r="A64" s="8" t="n"/>
      <c r="B64" s="13" t="n"/>
      <c r="C64" s="13" t="n"/>
      <c r="D64" s="13" t="n"/>
      <c r="E64" s="11" t="n"/>
      <c r="F64" s="7">
        <f>IF(A64="","",IF(OR(A64&lt;TaxStart,A64&gt;TaxEnd),"Outside tax year",IF(A64&lt;DATE(YEAR(TaxStart),7,6),"Q1",IF(A64&lt;DATE(YEAR(TaxStart),10,6),"Q2",IF(A64&lt;DATE(YEAR(TaxStart)+1,1,6),"Q3","Q4")))))</f>
        <v/>
      </c>
    </row>
    <row r="65">
      <c r="A65" s="8" t="n"/>
      <c r="B65" s="13" t="n"/>
      <c r="C65" s="13" t="n"/>
      <c r="D65" s="13" t="n"/>
      <c r="E65" s="11" t="n"/>
      <c r="F65" s="7">
        <f>IF(A65="","",IF(OR(A65&lt;TaxStart,A65&gt;TaxEnd),"Outside tax year",IF(A65&lt;DATE(YEAR(TaxStart),7,6),"Q1",IF(A65&lt;DATE(YEAR(TaxStart),10,6),"Q2",IF(A65&lt;DATE(YEAR(TaxStart)+1,1,6),"Q3","Q4")))))</f>
        <v/>
      </c>
    </row>
    <row r="66">
      <c r="A66" s="8" t="n"/>
      <c r="B66" s="13" t="n"/>
      <c r="C66" s="13" t="n"/>
      <c r="D66" s="13" t="n"/>
      <c r="E66" s="11" t="n"/>
      <c r="F66" s="7">
        <f>IF(A66="","",IF(OR(A66&lt;TaxStart,A66&gt;TaxEnd),"Outside tax year",IF(A66&lt;DATE(YEAR(TaxStart),7,6),"Q1",IF(A66&lt;DATE(YEAR(TaxStart),10,6),"Q2",IF(A66&lt;DATE(YEAR(TaxStart)+1,1,6),"Q3","Q4")))))</f>
        <v/>
      </c>
    </row>
    <row r="67">
      <c r="A67" s="8" t="n"/>
      <c r="B67" s="13" t="n"/>
      <c r="C67" s="13" t="n"/>
      <c r="D67" s="13" t="n"/>
      <c r="E67" s="11" t="n"/>
      <c r="F67" s="7">
        <f>IF(A67="","",IF(OR(A67&lt;TaxStart,A67&gt;TaxEnd),"Outside tax year",IF(A67&lt;DATE(YEAR(TaxStart),7,6),"Q1",IF(A67&lt;DATE(YEAR(TaxStart),10,6),"Q2",IF(A67&lt;DATE(YEAR(TaxStart)+1,1,6),"Q3","Q4")))))</f>
        <v/>
      </c>
    </row>
    <row r="68">
      <c r="A68" s="8" t="n"/>
      <c r="B68" s="13" t="n"/>
      <c r="C68" s="13" t="n"/>
      <c r="D68" s="13" t="n"/>
      <c r="E68" s="11" t="n"/>
      <c r="F68" s="7">
        <f>IF(A68="","",IF(OR(A68&lt;TaxStart,A68&gt;TaxEnd),"Outside tax year",IF(A68&lt;DATE(YEAR(TaxStart),7,6),"Q1",IF(A68&lt;DATE(YEAR(TaxStart),10,6),"Q2",IF(A68&lt;DATE(YEAR(TaxStart)+1,1,6),"Q3","Q4")))))</f>
        <v/>
      </c>
    </row>
    <row r="69">
      <c r="A69" s="8" t="n"/>
      <c r="B69" s="13" t="n"/>
      <c r="C69" s="13" t="n"/>
      <c r="D69" s="13" t="n"/>
      <c r="E69" s="11" t="n"/>
      <c r="F69" s="7">
        <f>IF(A69="","",IF(OR(A69&lt;TaxStart,A69&gt;TaxEnd),"Outside tax year",IF(A69&lt;DATE(YEAR(TaxStart),7,6),"Q1",IF(A69&lt;DATE(YEAR(TaxStart),10,6),"Q2",IF(A69&lt;DATE(YEAR(TaxStart)+1,1,6),"Q3","Q4")))))</f>
        <v/>
      </c>
    </row>
    <row r="70">
      <c r="A70" s="8" t="n"/>
      <c r="B70" s="13" t="n"/>
      <c r="C70" s="13" t="n"/>
      <c r="D70" s="13" t="n"/>
      <c r="E70" s="11" t="n"/>
      <c r="F70" s="7">
        <f>IF(A70="","",IF(OR(A70&lt;TaxStart,A70&gt;TaxEnd),"Outside tax year",IF(A70&lt;DATE(YEAR(TaxStart),7,6),"Q1",IF(A70&lt;DATE(YEAR(TaxStart),10,6),"Q2",IF(A70&lt;DATE(YEAR(TaxStart)+1,1,6),"Q3","Q4")))))</f>
        <v/>
      </c>
    </row>
    <row r="71">
      <c r="A71" s="8" t="n"/>
      <c r="B71" s="13" t="n"/>
      <c r="C71" s="13" t="n"/>
      <c r="D71" s="13" t="n"/>
      <c r="E71" s="11" t="n"/>
      <c r="F71" s="7">
        <f>IF(A71="","",IF(OR(A71&lt;TaxStart,A71&gt;TaxEnd),"Outside tax year",IF(A71&lt;DATE(YEAR(TaxStart),7,6),"Q1",IF(A71&lt;DATE(YEAR(TaxStart),10,6),"Q2",IF(A71&lt;DATE(YEAR(TaxStart)+1,1,6),"Q3","Q4")))))</f>
        <v/>
      </c>
    </row>
    <row r="72">
      <c r="A72" s="8" t="n"/>
      <c r="B72" s="13" t="n"/>
      <c r="C72" s="13" t="n"/>
      <c r="D72" s="13" t="n"/>
      <c r="E72" s="11" t="n"/>
      <c r="F72" s="7">
        <f>IF(A72="","",IF(OR(A72&lt;TaxStart,A72&gt;TaxEnd),"Outside tax year",IF(A72&lt;DATE(YEAR(TaxStart),7,6),"Q1",IF(A72&lt;DATE(YEAR(TaxStart),10,6),"Q2",IF(A72&lt;DATE(YEAR(TaxStart)+1,1,6),"Q3","Q4")))))</f>
        <v/>
      </c>
    </row>
    <row r="73">
      <c r="A73" s="8" t="n"/>
      <c r="B73" s="13" t="n"/>
      <c r="C73" s="13" t="n"/>
      <c r="D73" s="13" t="n"/>
      <c r="E73" s="11" t="n"/>
      <c r="F73" s="7">
        <f>IF(A73="","",IF(OR(A73&lt;TaxStart,A73&gt;TaxEnd),"Outside tax year",IF(A73&lt;DATE(YEAR(TaxStart),7,6),"Q1",IF(A73&lt;DATE(YEAR(TaxStart),10,6),"Q2",IF(A73&lt;DATE(YEAR(TaxStart)+1,1,6),"Q3","Q4")))))</f>
        <v/>
      </c>
    </row>
    <row r="74">
      <c r="A74" s="8" t="n"/>
      <c r="B74" s="13" t="n"/>
      <c r="C74" s="13" t="n"/>
      <c r="D74" s="13" t="n"/>
      <c r="E74" s="11" t="n"/>
      <c r="F74" s="7">
        <f>IF(A74="","",IF(OR(A74&lt;TaxStart,A74&gt;TaxEnd),"Outside tax year",IF(A74&lt;DATE(YEAR(TaxStart),7,6),"Q1",IF(A74&lt;DATE(YEAR(TaxStart),10,6),"Q2",IF(A74&lt;DATE(YEAR(TaxStart)+1,1,6),"Q3","Q4")))))</f>
        <v/>
      </c>
    </row>
    <row r="75">
      <c r="A75" s="8" t="n"/>
      <c r="B75" s="13" t="n"/>
      <c r="C75" s="13" t="n"/>
      <c r="D75" s="13" t="n"/>
      <c r="E75" s="11" t="n"/>
      <c r="F75" s="7">
        <f>IF(A75="","",IF(OR(A75&lt;TaxStart,A75&gt;TaxEnd),"Outside tax year",IF(A75&lt;DATE(YEAR(TaxStart),7,6),"Q1",IF(A75&lt;DATE(YEAR(TaxStart),10,6),"Q2",IF(A75&lt;DATE(YEAR(TaxStart)+1,1,6),"Q3","Q4")))))</f>
        <v/>
      </c>
    </row>
    <row r="76">
      <c r="A76" s="8" t="n"/>
      <c r="B76" s="13" t="n"/>
      <c r="C76" s="13" t="n"/>
      <c r="D76" s="13" t="n"/>
      <c r="E76" s="11" t="n"/>
      <c r="F76" s="7">
        <f>IF(A76="","",IF(OR(A76&lt;TaxStart,A76&gt;TaxEnd),"Outside tax year",IF(A76&lt;DATE(YEAR(TaxStart),7,6),"Q1",IF(A76&lt;DATE(YEAR(TaxStart),10,6),"Q2",IF(A76&lt;DATE(YEAR(TaxStart)+1,1,6),"Q3","Q4")))))</f>
        <v/>
      </c>
    </row>
    <row r="77">
      <c r="A77" s="8" t="n"/>
      <c r="B77" s="13" t="n"/>
      <c r="C77" s="13" t="n"/>
      <c r="D77" s="13" t="n"/>
      <c r="E77" s="11" t="n"/>
      <c r="F77" s="7">
        <f>IF(A77="","",IF(OR(A77&lt;TaxStart,A77&gt;TaxEnd),"Outside tax year",IF(A77&lt;DATE(YEAR(TaxStart),7,6),"Q1",IF(A77&lt;DATE(YEAR(TaxStart),10,6),"Q2",IF(A77&lt;DATE(YEAR(TaxStart)+1,1,6),"Q3","Q4")))))</f>
        <v/>
      </c>
    </row>
    <row r="78">
      <c r="A78" s="8" t="n"/>
      <c r="B78" s="13" t="n"/>
      <c r="C78" s="13" t="n"/>
      <c r="D78" s="13" t="n"/>
      <c r="E78" s="11" t="n"/>
      <c r="F78" s="7">
        <f>IF(A78="","",IF(OR(A78&lt;TaxStart,A78&gt;TaxEnd),"Outside tax year",IF(A78&lt;DATE(YEAR(TaxStart),7,6),"Q1",IF(A78&lt;DATE(YEAR(TaxStart),10,6),"Q2",IF(A78&lt;DATE(YEAR(TaxStart)+1,1,6),"Q3","Q4")))))</f>
        <v/>
      </c>
    </row>
    <row r="79">
      <c r="A79" s="8" t="n"/>
      <c r="B79" s="13" t="n"/>
      <c r="C79" s="13" t="n"/>
      <c r="D79" s="13" t="n"/>
      <c r="E79" s="11" t="n"/>
      <c r="F79" s="7">
        <f>IF(A79="","",IF(OR(A79&lt;TaxStart,A79&gt;TaxEnd),"Outside tax year",IF(A79&lt;DATE(YEAR(TaxStart),7,6),"Q1",IF(A79&lt;DATE(YEAR(TaxStart),10,6),"Q2",IF(A79&lt;DATE(YEAR(TaxStart)+1,1,6),"Q3","Q4")))))</f>
        <v/>
      </c>
    </row>
    <row r="80">
      <c r="A80" s="8" t="n"/>
      <c r="B80" s="13" t="n"/>
      <c r="C80" s="13" t="n"/>
      <c r="D80" s="13" t="n"/>
      <c r="E80" s="11" t="n"/>
      <c r="F80" s="7">
        <f>IF(A80="","",IF(OR(A80&lt;TaxStart,A80&gt;TaxEnd),"Outside tax year",IF(A80&lt;DATE(YEAR(TaxStart),7,6),"Q1",IF(A80&lt;DATE(YEAR(TaxStart),10,6),"Q2",IF(A80&lt;DATE(YEAR(TaxStart)+1,1,6),"Q3","Q4")))))</f>
        <v/>
      </c>
    </row>
    <row r="81">
      <c r="A81" s="8" t="n"/>
      <c r="B81" s="13" t="n"/>
      <c r="C81" s="13" t="n"/>
      <c r="D81" s="13" t="n"/>
      <c r="E81" s="11" t="n"/>
      <c r="F81" s="7">
        <f>IF(A81="","",IF(OR(A81&lt;TaxStart,A81&gt;TaxEnd),"Outside tax year",IF(A81&lt;DATE(YEAR(TaxStart),7,6),"Q1",IF(A81&lt;DATE(YEAR(TaxStart),10,6),"Q2",IF(A81&lt;DATE(YEAR(TaxStart)+1,1,6),"Q3","Q4")))))</f>
        <v/>
      </c>
    </row>
    <row r="82">
      <c r="A82" s="8" t="n"/>
      <c r="B82" s="13" t="n"/>
      <c r="C82" s="13" t="n"/>
      <c r="D82" s="13" t="n"/>
      <c r="E82" s="11" t="n"/>
      <c r="F82" s="7">
        <f>IF(A82="","",IF(OR(A82&lt;TaxStart,A82&gt;TaxEnd),"Outside tax year",IF(A82&lt;DATE(YEAR(TaxStart),7,6),"Q1",IF(A82&lt;DATE(YEAR(TaxStart),10,6),"Q2",IF(A82&lt;DATE(YEAR(TaxStart)+1,1,6),"Q3","Q4")))))</f>
        <v/>
      </c>
    </row>
    <row r="83">
      <c r="A83" s="8" t="n"/>
      <c r="B83" s="13" t="n"/>
      <c r="C83" s="13" t="n"/>
      <c r="D83" s="13" t="n"/>
      <c r="E83" s="11" t="n"/>
      <c r="F83" s="7">
        <f>IF(A83="","",IF(OR(A83&lt;TaxStart,A83&gt;TaxEnd),"Outside tax year",IF(A83&lt;DATE(YEAR(TaxStart),7,6),"Q1",IF(A83&lt;DATE(YEAR(TaxStart),10,6),"Q2",IF(A83&lt;DATE(YEAR(TaxStart)+1,1,6),"Q3","Q4")))))</f>
        <v/>
      </c>
    </row>
    <row r="84">
      <c r="A84" s="8" t="n"/>
      <c r="B84" s="13" t="n"/>
      <c r="C84" s="13" t="n"/>
      <c r="D84" s="13" t="n"/>
      <c r="E84" s="11" t="n"/>
      <c r="F84" s="7">
        <f>IF(A84="","",IF(OR(A84&lt;TaxStart,A84&gt;TaxEnd),"Outside tax year",IF(A84&lt;DATE(YEAR(TaxStart),7,6),"Q1",IF(A84&lt;DATE(YEAR(TaxStart),10,6),"Q2",IF(A84&lt;DATE(YEAR(TaxStart)+1,1,6),"Q3","Q4")))))</f>
        <v/>
      </c>
    </row>
    <row r="85">
      <c r="A85" s="8" t="n"/>
      <c r="B85" s="13" t="n"/>
      <c r="C85" s="13" t="n"/>
      <c r="D85" s="13" t="n"/>
      <c r="E85" s="11" t="n"/>
      <c r="F85" s="7">
        <f>IF(A85="","",IF(OR(A85&lt;TaxStart,A85&gt;TaxEnd),"Outside tax year",IF(A85&lt;DATE(YEAR(TaxStart),7,6),"Q1",IF(A85&lt;DATE(YEAR(TaxStart),10,6),"Q2",IF(A85&lt;DATE(YEAR(TaxStart)+1,1,6),"Q3","Q4")))))</f>
        <v/>
      </c>
    </row>
    <row r="86">
      <c r="A86" s="8" t="n"/>
      <c r="B86" s="13" t="n"/>
      <c r="C86" s="13" t="n"/>
      <c r="D86" s="13" t="n"/>
      <c r="E86" s="11" t="n"/>
      <c r="F86" s="7">
        <f>IF(A86="","",IF(OR(A86&lt;TaxStart,A86&gt;TaxEnd),"Outside tax year",IF(A86&lt;DATE(YEAR(TaxStart),7,6),"Q1",IF(A86&lt;DATE(YEAR(TaxStart),10,6),"Q2",IF(A86&lt;DATE(YEAR(TaxStart)+1,1,6),"Q3","Q4")))))</f>
        <v/>
      </c>
    </row>
    <row r="87">
      <c r="A87" s="8" t="n"/>
      <c r="B87" s="13" t="n"/>
      <c r="C87" s="13" t="n"/>
      <c r="D87" s="13" t="n"/>
      <c r="E87" s="11" t="n"/>
      <c r="F87" s="7">
        <f>IF(A87="","",IF(OR(A87&lt;TaxStart,A87&gt;TaxEnd),"Outside tax year",IF(A87&lt;DATE(YEAR(TaxStart),7,6),"Q1",IF(A87&lt;DATE(YEAR(TaxStart),10,6),"Q2",IF(A87&lt;DATE(YEAR(TaxStart)+1,1,6),"Q3","Q4")))))</f>
        <v/>
      </c>
    </row>
    <row r="88">
      <c r="A88" s="8" t="n"/>
      <c r="B88" s="13" t="n"/>
      <c r="C88" s="13" t="n"/>
      <c r="D88" s="13" t="n"/>
      <c r="E88" s="11" t="n"/>
      <c r="F88" s="7">
        <f>IF(A88="","",IF(OR(A88&lt;TaxStart,A88&gt;TaxEnd),"Outside tax year",IF(A88&lt;DATE(YEAR(TaxStart),7,6),"Q1",IF(A88&lt;DATE(YEAR(TaxStart),10,6),"Q2",IF(A88&lt;DATE(YEAR(TaxStart)+1,1,6),"Q3","Q4")))))</f>
        <v/>
      </c>
    </row>
    <row r="89">
      <c r="A89" s="8" t="n"/>
      <c r="B89" s="13" t="n"/>
      <c r="C89" s="13" t="n"/>
      <c r="D89" s="13" t="n"/>
      <c r="E89" s="11" t="n"/>
      <c r="F89" s="7">
        <f>IF(A89="","",IF(OR(A89&lt;TaxStart,A89&gt;TaxEnd),"Outside tax year",IF(A89&lt;DATE(YEAR(TaxStart),7,6),"Q1",IF(A89&lt;DATE(YEAR(TaxStart),10,6),"Q2",IF(A89&lt;DATE(YEAR(TaxStart)+1,1,6),"Q3","Q4")))))</f>
        <v/>
      </c>
    </row>
    <row r="90">
      <c r="A90" s="8" t="n"/>
      <c r="B90" s="13" t="n"/>
      <c r="C90" s="13" t="n"/>
      <c r="D90" s="13" t="n"/>
      <c r="E90" s="11" t="n"/>
      <c r="F90" s="7">
        <f>IF(A90="","",IF(OR(A90&lt;TaxStart,A90&gt;TaxEnd),"Outside tax year",IF(A90&lt;DATE(YEAR(TaxStart),7,6),"Q1",IF(A90&lt;DATE(YEAR(TaxStart),10,6),"Q2",IF(A90&lt;DATE(YEAR(TaxStart)+1,1,6),"Q3","Q4")))))</f>
        <v/>
      </c>
    </row>
    <row r="91">
      <c r="A91" s="8" t="n"/>
      <c r="B91" s="13" t="n"/>
      <c r="C91" s="13" t="n"/>
      <c r="D91" s="13" t="n"/>
      <c r="E91" s="11" t="n"/>
      <c r="F91" s="7">
        <f>IF(A91="","",IF(OR(A91&lt;TaxStart,A91&gt;TaxEnd),"Outside tax year",IF(A91&lt;DATE(YEAR(TaxStart),7,6),"Q1",IF(A91&lt;DATE(YEAR(TaxStart),10,6),"Q2",IF(A91&lt;DATE(YEAR(TaxStart)+1,1,6),"Q3","Q4")))))</f>
        <v/>
      </c>
    </row>
    <row r="92">
      <c r="A92" s="8" t="n"/>
      <c r="B92" s="13" t="n"/>
      <c r="C92" s="13" t="n"/>
      <c r="D92" s="13" t="n"/>
      <c r="E92" s="11" t="n"/>
      <c r="F92" s="7">
        <f>IF(A92="","",IF(OR(A92&lt;TaxStart,A92&gt;TaxEnd),"Outside tax year",IF(A92&lt;DATE(YEAR(TaxStart),7,6),"Q1",IF(A92&lt;DATE(YEAR(TaxStart),10,6),"Q2",IF(A92&lt;DATE(YEAR(TaxStart)+1,1,6),"Q3","Q4")))))</f>
        <v/>
      </c>
    </row>
    <row r="93">
      <c r="A93" s="8" t="n"/>
      <c r="B93" s="13" t="n"/>
      <c r="C93" s="13" t="n"/>
      <c r="D93" s="13" t="n"/>
      <c r="E93" s="11" t="n"/>
      <c r="F93" s="7">
        <f>IF(A93="","",IF(OR(A93&lt;TaxStart,A93&gt;TaxEnd),"Outside tax year",IF(A93&lt;DATE(YEAR(TaxStart),7,6),"Q1",IF(A93&lt;DATE(YEAR(TaxStart),10,6),"Q2",IF(A93&lt;DATE(YEAR(TaxStart)+1,1,6),"Q3","Q4")))))</f>
        <v/>
      </c>
    </row>
    <row r="94">
      <c r="A94" s="8" t="n"/>
      <c r="B94" s="13" t="n"/>
      <c r="C94" s="13" t="n"/>
      <c r="D94" s="13" t="n"/>
      <c r="E94" s="11" t="n"/>
      <c r="F94" s="7">
        <f>IF(A94="","",IF(OR(A94&lt;TaxStart,A94&gt;TaxEnd),"Outside tax year",IF(A94&lt;DATE(YEAR(TaxStart),7,6),"Q1",IF(A94&lt;DATE(YEAR(TaxStart),10,6),"Q2",IF(A94&lt;DATE(YEAR(TaxStart)+1,1,6),"Q3","Q4")))))</f>
        <v/>
      </c>
    </row>
    <row r="95">
      <c r="A95" s="8" t="n"/>
      <c r="B95" s="13" t="n"/>
      <c r="C95" s="13" t="n"/>
      <c r="D95" s="13" t="n"/>
      <c r="E95" s="11" t="n"/>
      <c r="F95" s="7">
        <f>IF(A95="","",IF(OR(A95&lt;TaxStart,A95&gt;TaxEnd),"Outside tax year",IF(A95&lt;DATE(YEAR(TaxStart),7,6),"Q1",IF(A95&lt;DATE(YEAR(TaxStart),10,6),"Q2",IF(A95&lt;DATE(YEAR(TaxStart)+1,1,6),"Q3","Q4")))))</f>
        <v/>
      </c>
    </row>
    <row r="96">
      <c r="A96" s="8" t="n"/>
      <c r="B96" s="13" t="n"/>
      <c r="C96" s="13" t="n"/>
      <c r="D96" s="13" t="n"/>
      <c r="E96" s="11" t="n"/>
      <c r="F96" s="7">
        <f>IF(A96="","",IF(OR(A96&lt;TaxStart,A96&gt;TaxEnd),"Outside tax year",IF(A96&lt;DATE(YEAR(TaxStart),7,6),"Q1",IF(A96&lt;DATE(YEAR(TaxStart),10,6),"Q2",IF(A96&lt;DATE(YEAR(TaxStart)+1,1,6),"Q3","Q4")))))</f>
        <v/>
      </c>
    </row>
    <row r="97">
      <c r="A97" s="8" t="n"/>
      <c r="B97" s="13" t="n"/>
      <c r="C97" s="13" t="n"/>
      <c r="D97" s="13" t="n"/>
      <c r="E97" s="11" t="n"/>
      <c r="F97" s="7">
        <f>IF(A97="","",IF(OR(A97&lt;TaxStart,A97&gt;TaxEnd),"Outside tax year",IF(A97&lt;DATE(YEAR(TaxStart),7,6),"Q1",IF(A97&lt;DATE(YEAR(TaxStart),10,6),"Q2",IF(A97&lt;DATE(YEAR(TaxStart)+1,1,6),"Q3","Q4")))))</f>
        <v/>
      </c>
    </row>
    <row r="98">
      <c r="A98" s="8" t="n"/>
      <c r="B98" s="13" t="n"/>
      <c r="C98" s="13" t="n"/>
      <c r="D98" s="13" t="n"/>
      <c r="E98" s="11" t="n"/>
      <c r="F98" s="7">
        <f>IF(A98="","",IF(OR(A98&lt;TaxStart,A98&gt;TaxEnd),"Outside tax year",IF(A98&lt;DATE(YEAR(TaxStart),7,6),"Q1",IF(A98&lt;DATE(YEAR(TaxStart),10,6),"Q2",IF(A98&lt;DATE(YEAR(TaxStart)+1,1,6),"Q3","Q4")))))</f>
        <v/>
      </c>
    </row>
    <row r="99">
      <c r="A99" s="8" t="n"/>
      <c r="B99" s="13" t="n"/>
      <c r="C99" s="13" t="n"/>
      <c r="D99" s="13" t="n"/>
      <c r="E99" s="11" t="n"/>
      <c r="F99" s="7">
        <f>IF(A99="","",IF(OR(A99&lt;TaxStart,A99&gt;TaxEnd),"Outside tax year",IF(A99&lt;DATE(YEAR(TaxStart),7,6),"Q1",IF(A99&lt;DATE(YEAR(TaxStart),10,6),"Q2",IF(A99&lt;DATE(YEAR(TaxStart)+1,1,6),"Q3","Q4")))))</f>
        <v/>
      </c>
    </row>
    <row r="100">
      <c r="A100" s="8" t="n"/>
      <c r="B100" s="13" t="n"/>
      <c r="C100" s="13" t="n"/>
      <c r="D100" s="13" t="n"/>
      <c r="E100" s="11" t="n"/>
      <c r="F100" s="7">
        <f>IF(A100="","",IF(OR(A100&lt;TaxStart,A100&gt;TaxEnd),"Outside tax year",IF(A100&lt;DATE(YEAR(TaxStart),7,6),"Q1",IF(A100&lt;DATE(YEAR(TaxStart),10,6),"Q2",IF(A100&lt;DATE(YEAR(TaxStart)+1,1,6),"Q3","Q4")))))</f>
        <v/>
      </c>
    </row>
    <row r="101">
      <c r="A101" s="8" t="n"/>
      <c r="B101" s="13" t="n"/>
      <c r="C101" s="13" t="n"/>
      <c r="D101" s="13" t="n"/>
      <c r="E101" s="11" t="n"/>
      <c r="F101" s="7">
        <f>IF(A101="","",IF(OR(A101&lt;TaxStart,A101&gt;TaxEnd),"Outside tax year",IF(A101&lt;DATE(YEAR(TaxStart),7,6),"Q1",IF(A101&lt;DATE(YEAR(TaxStart),10,6),"Q2",IF(A101&lt;DATE(YEAR(TaxStart)+1,1,6),"Q3","Q4")))))</f>
        <v/>
      </c>
    </row>
    <row r="102">
      <c r="A102" s="8" t="n"/>
      <c r="B102" s="13" t="n"/>
      <c r="C102" s="13" t="n"/>
      <c r="D102" s="13" t="n"/>
      <c r="E102" s="11" t="n"/>
      <c r="F102" s="7">
        <f>IF(A102="","",IF(OR(A102&lt;TaxStart,A102&gt;TaxEnd),"Outside tax year",IF(A102&lt;DATE(YEAR(TaxStart),7,6),"Q1",IF(A102&lt;DATE(YEAR(TaxStart),10,6),"Q2",IF(A102&lt;DATE(YEAR(TaxStart)+1,1,6),"Q3","Q4")))))</f>
        <v/>
      </c>
    </row>
    <row r="103">
      <c r="A103" s="8" t="n"/>
      <c r="B103" s="13" t="n"/>
      <c r="C103" s="13" t="n"/>
      <c r="D103" s="13" t="n"/>
      <c r="E103" s="11" t="n"/>
      <c r="F103" s="7">
        <f>IF(A103="","",IF(OR(A103&lt;TaxStart,A103&gt;TaxEnd),"Outside tax year",IF(A103&lt;DATE(YEAR(TaxStart),7,6),"Q1",IF(A103&lt;DATE(YEAR(TaxStart),10,6),"Q2",IF(A103&lt;DATE(YEAR(TaxStart)+1,1,6),"Q3","Q4")))))</f>
        <v/>
      </c>
    </row>
    <row r="104">
      <c r="A104" s="8" t="n"/>
      <c r="B104" s="13" t="n"/>
      <c r="C104" s="13" t="n"/>
      <c r="D104" s="13" t="n"/>
      <c r="E104" s="11" t="n"/>
      <c r="F104" s="7">
        <f>IF(A104="","",IF(OR(A104&lt;TaxStart,A104&gt;TaxEnd),"Outside tax year",IF(A104&lt;DATE(YEAR(TaxStart),7,6),"Q1",IF(A104&lt;DATE(YEAR(TaxStart),10,6),"Q2",IF(A104&lt;DATE(YEAR(TaxStart)+1,1,6),"Q3","Q4")))))</f>
        <v/>
      </c>
    </row>
    <row r="105">
      <c r="A105" s="8" t="n"/>
      <c r="B105" s="13" t="n"/>
      <c r="C105" s="13" t="n"/>
      <c r="D105" s="13" t="n"/>
      <c r="E105" s="11" t="n"/>
      <c r="F105" s="7">
        <f>IF(A105="","",IF(OR(A105&lt;TaxStart,A105&gt;TaxEnd),"Outside tax year",IF(A105&lt;DATE(YEAR(TaxStart),7,6),"Q1",IF(A105&lt;DATE(YEAR(TaxStart),10,6),"Q2",IF(A105&lt;DATE(YEAR(TaxStart)+1,1,6),"Q3","Q4")))))</f>
        <v/>
      </c>
    </row>
    <row r="106">
      <c r="A106" s="8" t="n"/>
      <c r="B106" s="13" t="n"/>
      <c r="C106" s="13" t="n"/>
      <c r="D106" s="13" t="n"/>
      <c r="E106" s="11" t="n"/>
      <c r="F106" s="7">
        <f>IF(A106="","",IF(OR(A106&lt;TaxStart,A106&gt;TaxEnd),"Outside tax year",IF(A106&lt;DATE(YEAR(TaxStart),7,6),"Q1",IF(A106&lt;DATE(YEAR(TaxStart),10,6),"Q2",IF(A106&lt;DATE(YEAR(TaxStart)+1,1,6),"Q3","Q4")))))</f>
        <v/>
      </c>
    </row>
    <row r="107">
      <c r="A107" s="8" t="n"/>
      <c r="B107" s="13" t="n"/>
      <c r="C107" s="13" t="n"/>
      <c r="D107" s="13" t="n"/>
      <c r="E107" s="11" t="n"/>
      <c r="F107" s="7">
        <f>IF(A107="","",IF(OR(A107&lt;TaxStart,A107&gt;TaxEnd),"Outside tax year",IF(A107&lt;DATE(YEAR(TaxStart),7,6),"Q1",IF(A107&lt;DATE(YEAR(TaxStart),10,6),"Q2",IF(A107&lt;DATE(YEAR(TaxStart)+1,1,6),"Q3","Q4")))))</f>
        <v/>
      </c>
    </row>
    <row r="108">
      <c r="A108" s="8" t="n"/>
      <c r="B108" s="13" t="n"/>
      <c r="C108" s="13" t="n"/>
      <c r="D108" s="13" t="n"/>
      <c r="E108" s="11" t="n"/>
      <c r="F108" s="7">
        <f>IF(A108="","",IF(OR(A108&lt;TaxStart,A108&gt;TaxEnd),"Outside tax year",IF(A108&lt;DATE(YEAR(TaxStart),7,6),"Q1",IF(A108&lt;DATE(YEAR(TaxStart),10,6),"Q2",IF(A108&lt;DATE(YEAR(TaxStart)+1,1,6),"Q3","Q4")))))</f>
        <v/>
      </c>
    </row>
    <row r="109">
      <c r="A109" s="8" t="n"/>
      <c r="B109" s="13" t="n"/>
      <c r="C109" s="13" t="n"/>
      <c r="D109" s="13" t="n"/>
      <c r="E109" s="11" t="n"/>
      <c r="F109" s="7">
        <f>IF(A109="","",IF(OR(A109&lt;TaxStart,A109&gt;TaxEnd),"Outside tax year",IF(A109&lt;DATE(YEAR(TaxStart),7,6),"Q1",IF(A109&lt;DATE(YEAR(TaxStart),10,6),"Q2",IF(A109&lt;DATE(YEAR(TaxStart)+1,1,6),"Q3","Q4")))))</f>
        <v/>
      </c>
    </row>
    <row r="110">
      <c r="A110" s="8" t="n"/>
      <c r="B110" s="13" t="n"/>
      <c r="C110" s="13" t="n"/>
      <c r="D110" s="13" t="n"/>
      <c r="E110" s="11" t="n"/>
      <c r="F110" s="7">
        <f>IF(A110="","",IF(OR(A110&lt;TaxStart,A110&gt;TaxEnd),"Outside tax year",IF(A110&lt;DATE(YEAR(TaxStart),7,6),"Q1",IF(A110&lt;DATE(YEAR(TaxStart),10,6),"Q2",IF(A110&lt;DATE(YEAR(TaxStart)+1,1,6),"Q3","Q4")))))</f>
        <v/>
      </c>
    </row>
    <row r="111">
      <c r="A111" s="8" t="n"/>
      <c r="B111" s="13" t="n"/>
      <c r="C111" s="13" t="n"/>
      <c r="D111" s="13" t="n"/>
      <c r="E111" s="11" t="n"/>
      <c r="F111" s="7">
        <f>IF(A111="","",IF(OR(A111&lt;TaxStart,A111&gt;TaxEnd),"Outside tax year",IF(A111&lt;DATE(YEAR(TaxStart),7,6),"Q1",IF(A111&lt;DATE(YEAR(TaxStart),10,6),"Q2",IF(A111&lt;DATE(YEAR(TaxStart)+1,1,6),"Q3","Q4")))))</f>
        <v/>
      </c>
    </row>
    <row r="112">
      <c r="A112" s="8" t="n"/>
      <c r="B112" s="13" t="n"/>
      <c r="C112" s="13" t="n"/>
      <c r="D112" s="13" t="n"/>
      <c r="E112" s="11" t="n"/>
      <c r="F112" s="7">
        <f>IF(A112="","",IF(OR(A112&lt;TaxStart,A112&gt;TaxEnd),"Outside tax year",IF(A112&lt;DATE(YEAR(TaxStart),7,6),"Q1",IF(A112&lt;DATE(YEAR(TaxStart),10,6),"Q2",IF(A112&lt;DATE(YEAR(TaxStart)+1,1,6),"Q3","Q4")))))</f>
        <v/>
      </c>
    </row>
    <row r="113">
      <c r="A113" s="8" t="n"/>
      <c r="B113" s="13" t="n"/>
      <c r="C113" s="13" t="n"/>
      <c r="D113" s="13" t="n"/>
      <c r="E113" s="11" t="n"/>
      <c r="F113" s="7">
        <f>IF(A113="","",IF(OR(A113&lt;TaxStart,A113&gt;TaxEnd),"Outside tax year",IF(A113&lt;DATE(YEAR(TaxStart),7,6),"Q1",IF(A113&lt;DATE(YEAR(TaxStart),10,6),"Q2",IF(A113&lt;DATE(YEAR(TaxStart)+1,1,6),"Q3","Q4")))))</f>
        <v/>
      </c>
    </row>
    <row r="114">
      <c r="A114" s="8" t="n"/>
      <c r="B114" s="13" t="n"/>
      <c r="C114" s="13" t="n"/>
      <c r="D114" s="13" t="n"/>
      <c r="E114" s="11" t="n"/>
      <c r="F114" s="7">
        <f>IF(A114="","",IF(OR(A114&lt;TaxStart,A114&gt;TaxEnd),"Outside tax year",IF(A114&lt;DATE(YEAR(TaxStart),7,6),"Q1",IF(A114&lt;DATE(YEAR(TaxStart),10,6),"Q2",IF(A114&lt;DATE(YEAR(TaxStart)+1,1,6),"Q3","Q4")))))</f>
        <v/>
      </c>
    </row>
    <row r="115">
      <c r="A115" s="8" t="n"/>
      <c r="B115" s="13" t="n"/>
      <c r="C115" s="13" t="n"/>
      <c r="D115" s="13" t="n"/>
      <c r="E115" s="11" t="n"/>
      <c r="F115" s="7">
        <f>IF(A115="","",IF(OR(A115&lt;TaxStart,A115&gt;TaxEnd),"Outside tax year",IF(A115&lt;DATE(YEAR(TaxStart),7,6),"Q1",IF(A115&lt;DATE(YEAR(TaxStart),10,6),"Q2",IF(A115&lt;DATE(YEAR(TaxStart)+1,1,6),"Q3","Q4")))))</f>
        <v/>
      </c>
    </row>
    <row r="116">
      <c r="A116" s="8" t="n"/>
      <c r="B116" s="13" t="n"/>
      <c r="C116" s="13" t="n"/>
      <c r="D116" s="13" t="n"/>
      <c r="E116" s="11" t="n"/>
      <c r="F116" s="7">
        <f>IF(A116="","",IF(OR(A116&lt;TaxStart,A116&gt;TaxEnd),"Outside tax year",IF(A116&lt;DATE(YEAR(TaxStart),7,6),"Q1",IF(A116&lt;DATE(YEAR(TaxStart),10,6),"Q2",IF(A116&lt;DATE(YEAR(TaxStart)+1,1,6),"Q3","Q4")))))</f>
        <v/>
      </c>
    </row>
    <row r="117">
      <c r="A117" s="8" t="n"/>
      <c r="B117" s="13" t="n"/>
      <c r="C117" s="13" t="n"/>
      <c r="D117" s="13" t="n"/>
      <c r="E117" s="11" t="n"/>
      <c r="F117" s="7">
        <f>IF(A117="","",IF(OR(A117&lt;TaxStart,A117&gt;TaxEnd),"Outside tax year",IF(A117&lt;DATE(YEAR(TaxStart),7,6),"Q1",IF(A117&lt;DATE(YEAR(TaxStart),10,6),"Q2",IF(A117&lt;DATE(YEAR(TaxStart)+1,1,6),"Q3","Q4")))))</f>
        <v/>
      </c>
    </row>
    <row r="118">
      <c r="A118" s="8" t="n"/>
      <c r="B118" s="13" t="n"/>
      <c r="C118" s="13" t="n"/>
      <c r="D118" s="13" t="n"/>
      <c r="E118" s="11" t="n"/>
      <c r="F118" s="7">
        <f>IF(A118="","",IF(OR(A118&lt;TaxStart,A118&gt;TaxEnd),"Outside tax year",IF(A118&lt;DATE(YEAR(TaxStart),7,6),"Q1",IF(A118&lt;DATE(YEAR(TaxStart),10,6),"Q2",IF(A118&lt;DATE(YEAR(TaxStart)+1,1,6),"Q3","Q4")))))</f>
        <v/>
      </c>
    </row>
    <row r="119">
      <c r="A119" s="8" t="n"/>
      <c r="B119" s="13" t="n"/>
      <c r="C119" s="13" t="n"/>
      <c r="D119" s="13" t="n"/>
      <c r="E119" s="11" t="n"/>
      <c r="F119" s="7">
        <f>IF(A119="","",IF(OR(A119&lt;TaxStart,A119&gt;TaxEnd),"Outside tax year",IF(A119&lt;DATE(YEAR(TaxStart),7,6),"Q1",IF(A119&lt;DATE(YEAR(TaxStart),10,6),"Q2",IF(A119&lt;DATE(YEAR(TaxStart)+1,1,6),"Q3","Q4")))))</f>
        <v/>
      </c>
    </row>
    <row r="120">
      <c r="A120" s="8" t="n"/>
      <c r="B120" s="13" t="n"/>
      <c r="C120" s="13" t="n"/>
      <c r="D120" s="13" t="n"/>
      <c r="E120" s="11" t="n"/>
      <c r="F120" s="7">
        <f>IF(A120="","",IF(OR(A120&lt;TaxStart,A120&gt;TaxEnd),"Outside tax year",IF(A120&lt;DATE(YEAR(TaxStart),7,6),"Q1",IF(A120&lt;DATE(YEAR(TaxStart),10,6),"Q2",IF(A120&lt;DATE(YEAR(TaxStart)+1,1,6),"Q3","Q4")))))</f>
        <v/>
      </c>
    </row>
    <row r="121">
      <c r="A121" s="8" t="n"/>
      <c r="B121" s="13" t="n"/>
      <c r="C121" s="13" t="n"/>
      <c r="D121" s="13" t="n"/>
      <c r="E121" s="11" t="n"/>
      <c r="F121" s="7">
        <f>IF(A121="","",IF(OR(A121&lt;TaxStart,A121&gt;TaxEnd),"Outside tax year",IF(A121&lt;DATE(YEAR(TaxStart),7,6),"Q1",IF(A121&lt;DATE(YEAR(TaxStart),10,6),"Q2",IF(A121&lt;DATE(YEAR(TaxStart)+1,1,6),"Q3","Q4")))))</f>
        <v/>
      </c>
    </row>
    <row r="122">
      <c r="A122" s="8" t="n"/>
      <c r="B122" s="13" t="n"/>
      <c r="C122" s="13" t="n"/>
      <c r="D122" s="13" t="n"/>
      <c r="E122" s="11" t="n"/>
      <c r="F122" s="7">
        <f>IF(A122="","",IF(OR(A122&lt;TaxStart,A122&gt;TaxEnd),"Outside tax year",IF(A122&lt;DATE(YEAR(TaxStart),7,6),"Q1",IF(A122&lt;DATE(YEAR(TaxStart),10,6),"Q2",IF(A122&lt;DATE(YEAR(TaxStart)+1,1,6),"Q3","Q4")))))</f>
        <v/>
      </c>
    </row>
    <row r="123">
      <c r="A123" s="8" t="n"/>
      <c r="B123" s="13" t="n"/>
      <c r="C123" s="13" t="n"/>
      <c r="D123" s="13" t="n"/>
      <c r="E123" s="11" t="n"/>
      <c r="F123" s="7">
        <f>IF(A123="","",IF(OR(A123&lt;TaxStart,A123&gt;TaxEnd),"Outside tax year",IF(A123&lt;DATE(YEAR(TaxStart),7,6),"Q1",IF(A123&lt;DATE(YEAR(TaxStart),10,6),"Q2",IF(A123&lt;DATE(YEAR(TaxStart)+1,1,6),"Q3","Q4")))))</f>
        <v/>
      </c>
    </row>
    <row r="124">
      <c r="A124" s="8" t="n"/>
      <c r="B124" s="13" t="n"/>
      <c r="C124" s="13" t="n"/>
      <c r="D124" s="13" t="n"/>
      <c r="E124" s="11" t="n"/>
      <c r="F124" s="7">
        <f>IF(A124="","",IF(OR(A124&lt;TaxStart,A124&gt;TaxEnd),"Outside tax year",IF(A124&lt;DATE(YEAR(TaxStart),7,6),"Q1",IF(A124&lt;DATE(YEAR(TaxStart),10,6),"Q2",IF(A124&lt;DATE(YEAR(TaxStart)+1,1,6),"Q3","Q4")))))</f>
        <v/>
      </c>
    </row>
    <row r="125">
      <c r="A125" s="8" t="n"/>
      <c r="B125" s="13" t="n"/>
      <c r="C125" s="13" t="n"/>
      <c r="D125" s="13" t="n"/>
      <c r="E125" s="11" t="n"/>
      <c r="F125" s="7">
        <f>IF(A125="","",IF(OR(A125&lt;TaxStart,A125&gt;TaxEnd),"Outside tax year",IF(A125&lt;DATE(YEAR(TaxStart),7,6),"Q1",IF(A125&lt;DATE(YEAR(TaxStart),10,6),"Q2",IF(A125&lt;DATE(YEAR(TaxStart)+1,1,6),"Q3","Q4")))))</f>
        <v/>
      </c>
    </row>
    <row r="126">
      <c r="A126" s="8" t="n"/>
      <c r="B126" s="13" t="n"/>
      <c r="C126" s="13" t="n"/>
      <c r="D126" s="13" t="n"/>
      <c r="E126" s="11" t="n"/>
      <c r="F126" s="7">
        <f>IF(A126="","",IF(OR(A126&lt;TaxStart,A126&gt;TaxEnd),"Outside tax year",IF(A126&lt;DATE(YEAR(TaxStart),7,6),"Q1",IF(A126&lt;DATE(YEAR(TaxStart),10,6),"Q2",IF(A126&lt;DATE(YEAR(TaxStart)+1,1,6),"Q3","Q4")))))</f>
        <v/>
      </c>
    </row>
    <row r="127">
      <c r="A127" s="8" t="n"/>
      <c r="B127" s="13" t="n"/>
      <c r="C127" s="13" t="n"/>
      <c r="D127" s="13" t="n"/>
      <c r="E127" s="11" t="n"/>
      <c r="F127" s="7">
        <f>IF(A127="","",IF(OR(A127&lt;TaxStart,A127&gt;TaxEnd),"Outside tax year",IF(A127&lt;DATE(YEAR(TaxStart),7,6),"Q1",IF(A127&lt;DATE(YEAR(TaxStart),10,6),"Q2",IF(A127&lt;DATE(YEAR(TaxStart)+1,1,6),"Q3","Q4")))))</f>
        <v/>
      </c>
    </row>
    <row r="128">
      <c r="A128" s="8" t="n"/>
      <c r="B128" s="13" t="n"/>
      <c r="C128" s="13" t="n"/>
      <c r="D128" s="13" t="n"/>
      <c r="E128" s="11" t="n"/>
      <c r="F128" s="7">
        <f>IF(A128="","",IF(OR(A128&lt;TaxStart,A128&gt;TaxEnd),"Outside tax year",IF(A128&lt;DATE(YEAR(TaxStart),7,6),"Q1",IF(A128&lt;DATE(YEAR(TaxStart),10,6),"Q2",IF(A128&lt;DATE(YEAR(TaxStart)+1,1,6),"Q3","Q4")))))</f>
        <v/>
      </c>
    </row>
    <row r="129">
      <c r="A129" s="8" t="n"/>
      <c r="B129" s="13" t="n"/>
      <c r="C129" s="13" t="n"/>
      <c r="D129" s="13" t="n"/>
      <c r="E129" s="11" t="n"/>
      <c r="F129" s="7">
        <f>IF(A129="","",IF(OR(A129&lt;TaxStart,A129&gt;TaxEnd),"Outside tax year",IF(A129&lt;DATE(YEAR(TaxStart),7,6),"Q1",IF(A129&lt;DATE(YEAR(TaxStart),10,6),"Q2",IF(A129&lt;DATE(YEAR(TaxStart)+1,1,6),"Q3","Q4")))))</f>
        <v/>
      </c>
    </row>
    <row r="130">
      <c r="A130" s="8" t="n"/>
      <c r="B130" s="13" t="n"/>
      <c r="C130" s="13" t="n"/>
      <c r="D130" s="13" t="n"/>
      <c r="E130" s="11" t="n"/>
      <c r="F130" s="7">
        <f>IF(A130="","",IF(OR(A130&lt;TaxStart,A130&gt;TaxEnd),"Outside tax year",IF(A130&lt;DATE(YEAR(TaxStart),7,6),"Q1",IF(A130&lt;DATE(YEAR(TaxStart),10,6),"Q2",IF(A130&lt;DATE(YEAR(TaxStart)+1,1,6),"Q3","Q4")))))</f>
        <v/>
      </c>
    </row>
    <row r="131">
      <c r="A131" s="8" t="n"/>
      <c r="B131" s="13" t="n"/>
      <c r="C131" s="13" t="n"/>
      <c r="D131" s="13" t="n"/>
      <c r="E131" s="11" t="n"/>
      <c r="F131" s="7">
        <f>IF(A131="","",IF(OR(A131&lt;TaxStart,A131&gt;TaxEnd),"Outside tax year",IF(A131&lt;DATE(YEAR(TaxStart),7,6),"Q1",IF(A131&lt;DATE(YEAR(TaxStart),10,6),"Q2",IF(A131&lt;DATE(YEAR(TaxStart)+1,1,6),"Q3","Q4")))))</f>
        <v/>
      </c>
    </row>
    <row r="132">
      <c r="A132" s="8" t="n"/>
      <c r="B132" s="13" t="n"/>
      <c r="C132" s="13" t="n"/>
      <c r="D132" s="13" t="n"/>
      <c r="E132" s="11" t="n"/>
      <c r="F132" s="7">
        <f>IF(A132="","",IF(OR(A132&lt;TaxStart,A132&gt;TaxEnd),"Outside tax year",IF(A132&lt;DATE(YEAR(TaxStart),7,6),"Q1",IF(A132&lt;DATE(YEAR(TaxStart),10,6),"Q2",IF(A132&lt;DATE(YEAR(TaxStart)+1,1,6),"Q3","Q4")))))</f>
        <v/>
      </c>
    </row>
    <row r="133">
      <c r="A133" s="8" t="n"/>
      <c r="B133" s="13" t="n"/>
      <c r="C133" s="13" t="n"/>
      <c r="D133" s="13" t="n"/>
      <c r="E133" s="11" t="n"/>
      <c r="F133" s="7">
        <f>IF(A133="","",IF(OR(A133&lt;TaxStart,A133&gt;TaxEnd),"Outside tax year",IF(A133&lt;DATE(YEAR(TaxStart),7,6),"Q1",IF(A133&lt;DATE(YEAR(TaxStart),10,6),"Q2",IF(A133&lt;DATE(YEAR(TaxStart)+1,1,6),"Q3","Q4")))))</f>
        <v/>
      </c>
    </row>
    <row r="134">
      <c r="A134" s="8" t="n"/>
      <c r="B134" s="13" t="n"/>
      <c r="C134" s="13" t="n"/>
      <c r="D134" s="13" t="n"/>
      <c r="E134" s="11" t="n"/>
      <c r="F134" s="7">
        <f>IF(A134="","",IF(OR(A134&lt;TaxStart,A134&gt;TaxEnd),"Outside tax year",IF(A134&lt;DATE(YEAR(TaxStart),7,6),"Q1",IF(A134&lt;DATE(YEAR(TaxStart),10,6),"Q2",IF(A134&lt;DATE(YEAR(TaxStart)+1,1,6),"Q3","Q4")))))</f>
        <v/>
      </c>
    </row>
    <row r="135">
      <c r="A135" s="8" t="n"/>
      <c r="B135" s="13" t="n"/>
      <c r="C135" s="13" t="n"/>
      <c r="D135" s="13" t="n"/>
      <c r="E135" s="11" t="n"/>
      <c r="F135" s="7">
        <f>IF(A135="","",IF(OR(A135&lt;TaxStart,A135&gt;TaxEnd),"Outside tax year",IF(A135&lt;DATE(YEAR(TaxStart),7,6),"Q1",IF(A135&lt;DATE(YEAR(TaxStart),10,6),"Q2",IF(A135&lt;DATE(YEAR(TaxStart)+1,1,6),"Q3","Q4")))))</f>
        <v/>
      </c>
    </row>
    <row r="136">
      <c r="A136" s="8" t="n"/>
      <c r="B136" s="13" t="n"/>
      <c r="C136" s="13" t="n"/>
      <c r="D136" s="13" t="n"/>
      <c r="E136" s="11" t="n"/>
      <c r="F136" s="7">
        <f>IF(A136="","",IF(OR(A136&lt;TaxStart,A136&gt;TaxEnd),"Outside tax year",IF(A136&lt;DATE(YEAR(TaxStart),7,6),"Q1",IF(A136&lt;DATE(YEAR(TaxStart),10,6),"Q2",IF(A136&lt;DATE(YEAR(TaxStart)+1,1,6),"Q3","Q4")))))</f>
        <v/>
      </c>
    </row>
    <row r="137">
      <c r="A137" s="8" t="n"/>
      <c r="B137" s="13" t="n"/>
      <c r="C137" s="13" t="n"/>
      <c r="D137" s="13" t="n"/>
      <c r="E137" s="11" t="n"/>
      <c r="F137" s="7">
        <f>IF(A137="","",IF(OR(A137&lt;TaxStart,A137&gt;TaxEnd),"Outside tax year",IF(A137&lt;DATE(YEAR(TaxStart),7,6),"Q1",IF(A137&lt;DATE(YEAR(TaxStart),10,6),"Q2",IF(A137&lt;DATE(YEAR(TaxStart)+1,1,6),"Q3","Q4")))))</f>
        <v/>
      </c>
    </row>
    <row r="138">
      <c r="A138" s="8" t="n"/>
      <c r="B138" s="13" t="n"/>
      <c r="C138" s="13" t="n"/>
      <c r="D138" s="13" t="n"/>
      <c r="E138" s="11" t="n"/>
      <c r="F138" s="7">
        <f>IF(A138="","",IF(OR(A138&lt;TaxStart,A138&gt;TaxEnd),"Outside tax year",IF(A138&lt;DATE(YEAR(TaxStart),7,6),"Q1",IF(A138&lt;DATE(YEAR(TaxStart),10,6),"Q2",IF(A138&lt;DATE(YEAR(TaxStart)+1,1,6),"Q3","Q4")))))</f>
        <v/>
      </c>
    </row>
    <row r="139">
      <c r="A139" s="8" t="n"/>
      <c r="B139" s="13" t="n"/>
      <c r="C139" s="13" t="n"/>
      <c r="D139" s="13" t="n"/>
      <c r="E139" s="11" t="n"/>
      <c r="F139" s="7">
        <f>IF(A139="","",IF(OR(A139&lt;TaxStart,A139&gt;TaxEnd),"Outside tax year",IF(A139&lt;DATE(YEAR(TaxStart),7,6),"Q1",IF(A139&lt;DATE(YEAR(TaxStart),10,6),"Q2",IF(A139&lt;DATE(YEAR(TaxStart)+1,1,6),"Q3","Q4")))))</f>
        <v/>
      </c>
    </row>
    <row r="140">
      <c r="A140" s="8" t="n"/>
      <c r="B140" s="13" t="n"/>
      <c r="C140" s="13" t="n"/>
      <c r="D140" s="13" t="n"/>
      <c r="E140" s="11" t="n"/>
      <c r="F140" s="7">
        <f>IF(A140="","",IF(OR(A140&lt;TaxStart,A140&gt;TaxEnd),"Outside tax year",IF(A140&lt;DATE(YEAR(TaxStart),7,6),"Q1",IF(A140&lt;DATE(YEAR(TaxStart),10,6),"Q2",IF(A140&lt;DATE(YEAR(TaxStart)+1,1,6),"Q3","Q4")))))</f>
        <v/>
      </c>
    </row>
    <row r="141">
      <c r="A141" s="8" t="n"/>
      <c r="B141" s="13" t="n"/>
      <c r="C141" s="13" t="n"/>
      <c r="D141" s="13" t="n"/>
      <c r="E141" s="11" t="n"/>
      <c r="F141" s="7">
        <f>IF(A141="","",IF(OR(A141&lt;TaxStart,A141&gt;TaxEnd),"Outside tax year",IF(A141&lt;DATE(YEAR(TaxStart),7,6),"Q1",IF(A141&lt;DATE(YEAR(TaxStart),10,6),"Q2",IF(A141&lt;DATE(YEAR(TaxStart)+1,1,6),"Q3","Q4")))))</f>
        <v/>
      </c>
    </row>
    <row r="142">
      <c r="A142" s="8" t="n"/>
      <c r="B142" s="13" t="n"/>
      <c r="C142" s="13" t="n"/>
      <c r="D142" s="13" t="n"/>
      <c r="E142" s="11" t="n"/>
      <c r="F142" s="7">
        <f>IF(A142="","",IF(OR(A142&lt;TaxStart,A142&gt;TaxEnd),"Outside tax year",IF(A142&lt;DATE(YEAR(TaxStart),7,6),"Q1",IF(A142&lt;DATE(YEAR(TaxStart),10,6),"Q2",IF(A142&lt;DATE(YEAR(TaxStart)+1,1,6),"Q3","Q4")))))</f>
        <v/>
      </c>
    </row>
    <row r="143">
      <c r="A143" s="8" t="n"/>
      <c r="B143" s="13" t="n"/>
      <c r="C143" s="13" t="n"/>
      <c r="D143" s="13" t="n"/>
      <c r="E143" s="11" t="n"/>
      <c r="F143" s="7">
        <f>IF(A143="","",IF(OR(A143&lt;TaxStart,A143&gt;TaxEnd),"Outside tax year",IF(A143&lt;DATE(YEAR(TaxStart),7,6),"Q1",IF(A143&lt;DATE(YEAR(TaxStart),10,6),"Q2",IF(A143&lt;DATE(YEAR(TaxStart)+1,1,6),"Q3","Q4")))))</f>
        <v/>
      </c>
    </row>
    <row r="144">
      <c r="A144" s="8" t="n"/>
      <c r="B144" s="13" t="n"/>
      <c r="C144" s="13" t="n"/>
      <c r="D144" s="13" t="n"/>
      <c r="E144" s="11" t="n"/>
      <c r="F144" s="7">
        <f>IF(A144="","",IF(OR(A144&lt;TaxStart,A144&gt;TaxEnd),"Outside tax year",IF(A144&lt;DATE(YEAR(TaxStart),7,6),"Q1",IF(A144&lt;DATE(YEAR(TaxStart),10,6),"Q2",IF(A144&lt;DATE(YEAR(TaxStart)+1,1,6),"Q3","Q4")))))</f>
        <v/>
      </c>
    </row>
    <row r="145">
      <c r="A145" s="8" t="n"/>
      <c r="B145" s="13" t="n"/>
      <c r="C145" s="13" t="n"/>
      <c r="D145" s="13" t="n"/>
      <c r="E145" s="11" t="n"/>
      <c r="F145" s="7">
        <f>IF(A145="","",IF(OR(A145&lt;TaxStart,A145&gt;TaxEnd),"Outside tax year",IF(A145&lt;DATE(YEAR(TaxStart),7,6),"Q1",IF(A145&lt;DATE(YEAR(TaxStart),10,6),"Q2",IF(A145&lt;DATE(YEAR(TaxStart)+1,1,6),"Q3","Q4")))))</f>
        <v/>
      </c>
    </row>
    <row r="146">
      <c r="A146" s="8" t="n"/>
      <c r="B146" s="13" t="n"/>
      <c r="C146" s="13" t="n"/>
      <c r="D146" s="13" t="n"/>
      <c r="E146" s="11" t="n"/>
      <c r="F146" s="7">
        <f>IF(A146="","",IF(OR(A146&lt;TaxStart,A146&gt;TaxEnd),"Outside tax year",IF(A146&lt;DATE(YEAR(TaxStart),7,6),"Q1",IF(A146&lt;DATE(YEAR(TaxStart),10,6),"Q2",IF(A146&lt;DATE(YEAR(TaxStart)+1,1,6),"Q3","Q4")))))</f>
        <v/>
      </c>
    </row>
    <row r="147">
      <c r="A147" s="8" t="n"/>
      <c r="B147" s="13" t="n"/>
      <c r="C147" s="13" t="n"/>
      <c r="D147" s="13" t="n"/>
      <c r="E147" s="11" t="n"/>
      <c r="F147" s="7">
        <f>IF(A147="","",IF(OR(A147&lt;TaxStart,A147&gt;TaxEnd),"Outside tax year",IF(A147&lt;DATE(YEAR(TaxStart),7,6),"Q1",IF(A147&lt;DATE(YEAR(TaxStart),10,6),"Q2",IF(A147&lt;DATE(YEAR(TaxStart)+1,1,6),"Q3","Q4")))))</f>
        <v/>
      </c>
    </row>
    <row r="148">
      <c r="A148" s="8" t="n"/>
      <c r="B148" s="13" t="n"/>
      <c r="C148" s="13" t="n"/>
      <c r="D148" s="13" t="n"/>
      <c r="E148" s="11" t="n"/>
      <c r="F148" s="7">
        <f>IF(A148="","",IF(OR(A148&lt;TaxStart,A148&gt;TaxEnd),"Outside tax year",IF(A148&lt;DATE(YEAR(TaxStart),7,6),"Q1",IF(A148&lt;DATE(YEAR(TaxStart),10,6),"Q2",IF(A148&lt;DATE(YEAR(TaxStart)+1,1,6),"Q3","Q4")))))</f>
        <v/>
      </c>
    </row>
    <row r="149">
      <c r="A149" s="8" t="n"/>
      <c r="B149" s="13" t="n"/>
      <c r="C149" s="13" t="n"/>
      <c r="D149" s="13" t="n"/>
      <c r="E149" s="11" t="n"/>
      <c r="F149" s="7">
        <f>IF(A149="","",IF(OR(A149&lt;TaxStart,A149&gt;TaxEnd),"Outside tax year",IF(A149&lt;DATE(YEAR(TaxStart),7,6),"Q1",IF(A149&lt;DATE(YEAR(TaxStart),10,6),"Q2",IF(A149&lt;DATE(YEAR(TaxStart)+1,1,6),"Q3","Q4")))))</f>
        <v/>
      </c>
    </row>
    <row r="150">
      <c r="A150" s="8" t="n"/>
      <c r="B150" s="13" t="n"/>
      <c r="C150" s="13" t="n"/>
      <c r="D150" s="13" t="n"/>
      <c r="E150" s="11" t="n"/>
      <c r="F150" s="7">
        <f>IF(A150="","",IF(OR(A150&lt;TaxStart,A150&gt;TaxEnd),"Outside tax year",IF(A150&lt;DATE(YEAR(TaxStart),7,6),"Q1",IF(A150&lt;DATE(YEAR(TaxStart),10,6),"Q2",IF(A150&lt;DATE(YEAR(TaxStart)+1,1,6),"Q3","Q4")))))</f>
        <v/>
      </c>
    </row>
    <row r="151">
      <c r="A151" s="8" t="n"/>
      <c r="B151" s="13" t="n"/>
      <c r="C151" s="13" t="n"/>
      <c r="D151" s="13" t="n"/>
      <c r="E151" s="11" t="n"/>
      <c r="F151" s="7">
        <f>IF(A151="","",IF(OR(A151&lt;TaxStart,A151&gt;TaxEnd),"Outside tax year",IF(A151&lt;DATE(YEAR(TaxStart),7,6),"Q1",IF(A151&lt;DATE(YEAR(TaxStart),10,6),"Q2",IF(A151&lt;DATE(YEAR(TaxStart)+1,1,6),"Q3","Q4")))))</f>
        <v/>
      </c>
    </row>
    <row r="152">
      <c r="A152" s="8" t="n"/>
      <c r="B152" s="13" t="n"/>
      <c r="C152" s="13" t="n"/>
      <c r="D152" s="13" t="n"/>
      <c r="E152" s="11" t="n"/>
      <c r="F152" s="7">
        <f>IF(A152="","",IF(OR(A152&lt;TaxStart,A152&gt;TaxEnd),"Outside tax year",IF(A152&lt;DATE(YEAR(TaxStart),7,6),"Q1",IF(A152&lt;DATE(YEAR(TaxStart),10,6),"Q2",IF(A152&lt;DATE(YEAR(TaxStart)+1,1,6),"Q3","Q4")))))</f>
        <v/>
      </c>
    </row>
    <row r="153">
      <c r="A153" s="8" t="n"/>
      <c r="B153" s="13" t="n"/>
      <c r="C153" s="13" t="n"/>
      <c r="D153" s="13" t="n"/>
      <c r="E153" s="11" t="n"/>
      <c r="F153" s="7">
        <f>IF(A153="","",IF(OR(A153&lt;TaxStart,A153&gt;TaxEnd),"Outside tax year",IF(A153&lt;DATE(YEAR(TaxStart),7,6),"Q1",IF(A153&lt;DATE(YEAR(TaxStart),10,6),"Q2",IF(A153&lt;DATE(YEAR(TaxStart)+1,1,6),"Q3","Q4")))))</f>
        <v/>
      </c>
    </row>
    <row r="154">
      <c r="A154" s="8" t="n"/>
      <c r="B154" s="13" t="n"/>
      <c r="C154" s="13" t="n"/>
      <c r="D154" s="13" t="n"/>
      <c r="E154" s="11" t="n"/>
      <c r="F154" s="7">
        <f>IF(A154="","",IF(OR(A154&lt;TaxStart,A154&gt;TaxEnd),"Outside tax year",IF(A154&lt;DATE(YEAR(TaxStart),7,6),"Q1",IF(A154&lt;DATE(YEAR(TaxStart),10,6),"Q2",IF(A154&lt;DATE(YEAR(TaxStart)+1,1,6),"Q3","Q4")))))</f>
        <v/>
      </c>
    </row>
    <row r="155">
      <c r="A155" s="8" t="n"/>
      <c r="B155" s="13" t="n"/>
      <c r="C155" s="13" t="n"/>
      <c r="D155" s="13" t="n"/>
      <c r="E155" s="11" t="n"/>
      <c r="F155" s="7">
        <f>IF(A155="","",IF(OR(A155&lt;TaxStart,A155&gt;TaxEnd),"Outside tax year",IF(A155&lt;DATE(YEAR(TaxStart),7,6),"Q1",IF(A155&lt;DATE(YEAR(TaxStart),10,6),"Q2",IF(A155&lt;DATE(YEAR(TaxStart)+1,1,6),"Q3","Q4")))))</f>
        <v/>
      </c>
    </row>
    <row r="156">
      <c r="A156" s="8" t="n"/>
      <c r="B156" s="13" t="n"/>
      <c r="C156" s="13" t="n"/>
      <c r="D156" s="13" t="n"/>
      <c r="E156" s="11" t="n"/>
      <c r="F156" s="7">
        <f>IF(A156="","",IF(OR(A156&lt;TaxStart,A156&gt;TaxEnd),"Outside tax year",IF(A156&lt;DATE(YEAR(TaxStart),7,6),"Q1",IF(A156&lt;DATE(YEAR(TaxStart),10,6),"Q2",IF(A156&lt;DATE(YEAR(TaxStart)+1,1,6),"Q3","Q4")))))</f>
        <v/>
      </c>
    </row>
    <row r="157">
      <c r="A157" s="8" t="n"/>
      <c r="B157" s="13" t="n"/>
      <c r="C157" s="13" t="n"/>
      <c r="D157" s="13" t="n"/>
      <c r="E157" s="11" t="n"/>
      <c r="F157" s="7">
        <f>IF(A157="","",IF(OR(A157&lt;TaxStart,A157&gt;TaxEnd),"Outside tax year",IF(A157&lt;DATE(YEAR(TaxStart),7,6),"Q1",IF(A157&lt;DATE(YEAR(TaxStart),10,6),"Q2",IF(A157&lt;DATE(YEAR(TaxStart)+1,1,6),"Q3","Q4")))))</f>
        <v/>
      </c>
    </row>
    <row r="158">
      <c r="A158" s="8" t="n"/>
      <c r="B158" s="13" t="n"/>
      <c r="C158" s="13" t="n"/>
      <c r="D158" s="13" t="n"/>
      <c r="E158" s="11" t="n"/>
      <c r="F158" s="7">
        <f>IF(A158="","",IF(OR(A158&lt;TaxStart,A158&gt;TaxEnd),"Outside tax year",IF(A158&lt;DATE(YEAR(TaxStart),7,6),"Q1",IF(A158&lt;DATE(YEAR(TaxStart),10,6),"Q2",IF(A158&lt;DATE(YEAR(TaxStart)+1,1,6),"Q3","Q4")))))</f>
        <v/>
      </c>
    </row>
    <row r="159">
      <c r="A159" s="8" t="n"/>
      <c r="B159" s="13" t="n"/>
      <c r="C159" s="13" t="n"/>
      <c r="D159" s="13" t="n"/>
      <c r="E159" s="11" t="n"/>
      <c r="F159" s="7">
        <f>IF(A159="","",IF(OR(A159&lt;TaxStart,A159&gt;TaxEnd),"Outside tax year",IF(A159&lt;DATE(YEAR(TaxStart),7,6),"Q1",IF(A159&lt;DATE(YEAR(TaxStart),10,6),"Q2",IF(A159&lt;DATE(YEAR(TaxStart)+1,1,6),"Q3","Q4")))))</f>
        <v/>
      </c>
    </row>
    <row r="160">
      <c r="A160" s="8" t="n"/>
      <c r="B160" s="13" t="n"/>
      <c r="C160" s="13" t="n"/>
      <c r="D160" s="13" t="n"/>
      <c r="E160" s="11" t="n"/>
      <c r="F160" s="7">
        <f>IF(A160="","",IF(OR(A160&lt;TaxStart,A160&gt;TaxEnd),"Outside tax year",IF(A160&lt;DATE(YEAR(TaxStart),7,6),"Q1",IF(A160&lt;DATE(YEAR(TaxStart),10,6),"Q2",IF(A160&lt;DATE(YEAR(TaxStart)+1,1,6),"Q3","Q4")))))</f>
        <v/>
      </c>
    </row>
    <row r="161">
      <c r="A161" s="8" t="n"/>
      <c r="B161" s="13" t="n"/>
      <c r="C161" s="13" t="n"/>
      <c r="D161" s="13" t="n"/>
      <c r="E161" s="11" t="n"/>
      <c r="F161" s="7">
        <f>IF(A161="","",IF(OR(A161&lt;TaxStart,A161&gt;TaxEnd),"Outside tax year",IF(A161&lt;DATE(YEAR(TaxStart),7,6),"Q1",IF(A161&lt;DATE(YEAR(TaxStart),10,6),"Q2",IF(A161&lt;DATE(YEAR(TaxStart)+1,1,6),"Q3","Q4")))))</f>
        <v/>
      </c>
    </row>
    <row r="162">
      <c r="A162" s="8" t="n"/>
      <c r="B162" s="13" t="n"/>
      <c r="C162" s="13" t="n"/>
      <c r="D162" s="13" t="n"/>
      <c r="E162" s="11" t="n"/>
      <c r="F162" s="7">
        <f>IF(A162="","",IF(OR(A162&lt;TaxStart,A162&gt;TaxEnd),"Outside tax year",IF(A162&lt;DATE(YEAR(TaxStart),7,6),"Q1",IF(A162&lt;DATE(YEAR(TaxStart),10,6),"Q2",IF(A162&lt;DATE(YEAR(TaxStart)+1,1,6),"Q3","Q4")))))</f>
        <v/>
      </c>
    </row>
    <row r="163">
      <c r="A163" s="8" t="n"/>
      <c r="B163" s="13" t="n"/>
      <c r="C163" s="13" t="n"/>
      <c r="D163" s="13" t="n"/>
      <c r="E163" s="11" t="n"/>
      <c r="F163" s="7">
        <f>IF(A163="","",IF(OR(A163&lt;TaxStart,A163&gt;TaxEnd),"Outside tax year",IF(A163&lt;DATE(YEAR(TaxStart),7,6),"Q1",IF(A163&lt;DATE(YEAR(TaxStart),10,6),"Q2",IF(A163&lt;DATE(YEAR(TaxStart)+1,1,6),"Q3","Q4")))))</f>
        <v/>
      </c>
    </row>
    <row r="164">
      <c r="A164" s="8" t="n"/>
      <c r="B164" s="13" t="n"/>
      <c r="C164" s="13" t="n"/>
      <c r="D164" s="13" t="n"/>
      <c r="E164" s="11" t="n"/>
      <c r="F164" s="7">
        <f>IF(A164="","",IF(OR(A164&lt;TaxStart,A164&gt;TaxEnd),"Outside tax year",IF(A164&lt;DATE(YEAR(TaxStart),7,6),"Q1",IF(A164&lt;DATE(YEAR(TaxStart),10,6),"Q2",IF(A164&lt;DATE(YEAR(TaxStart)+1,1,6),"Q3","Q4")))))</f>
        <v/>
      </c>
    </row>
    <row r="165">
      <c r="A165" s="8" t="n"/>
      <c r="B165" s="13" t="n"/>
      <c r="C165" s="13" t="n"/>
      <c r="D165" s="13" t="n"/>
      <c r="E165" s="11" t="n"/>
      <c r="F165" s="7">
        <f>IF(A165="","",IF(OR(A165&lt;TaxStart,A165&gt;TaxEnd),"Outside tax year",IF(A165&lt;DATE(YEAR(TaxStart),7,6),"Q1",IF(A165&lt;DATE(YEAR(TaxStart),10,6),"Q2",IF(A165&lt;DATE(YEAR(TaxStart)+1,1,6),"Q3","Q4")))))</f>
        <v/>
      </c>
    </row>
    <row r="166">
      <c r="A166" s="8" t="n"/>
      <c r="B166" s="13" t="n"/>
      <c r="C166" s="13" t="n"/>
      <c r="D166" s="13" t="n"/>
      <c r="E166" s="11" t="n"/>
      <c r="F166" s="7">
        <f>IF(A166="","",IF(OR(A166&lt;TaxStart,A166&gt;TaxEnd),"Outside tax year",IF(A166&lt;DATE(YEAR(TaxStart),7,6),"Q1",IF(A166&lt;DATE(YEAR(TaxStart),10,6),"Q2",IF(A166&lt;DATE(YEAR(TaxStart)+1,1,6),"Q3","Q4")))))</f>
        <v/>
      </c>
    </row>
    <row r="167">
      <c r="A167" s="8" t="n"/>
      <c r="B167" s="13" t="n"/>
      <c r="C167" s="13" t="n"/>
      <c r="D167" s="13" t="n"/>
      <c r="E167" s="11" t="n"/>
      <c r="F167" s="7">
        <f>IF(A167="","",IF(OR(A167&lt;TaxStart,A167&gt;TaxEnd),"Outside tax year",IF(A167&lt;DATE(YEAR(TaxStart),7,6),"Q1",IF(A167&lt;DATE(YEAR(TaxStart),10,6),"Q2",IF(A167&lt;DATE(YEAR(TaxStart)+1,1,6),"Q3","Q4")))))</f>
        <v/>
      </c>
    </row>
    <row r="168">
      <c r="A168" s="8" t="n"/>
      <c r="B168" s="13" t="n"/>
      <c r="C168" s="13" t="n"/>
      <c r="D168" s="13" t="n"/>
      <c r="E168" s="11" t="n"/>
      <c r="F168" s="7">
        <f>IF(A168="","",IF(OR(A168&lt;TaxStart,A168&gt;TaxEnd),"Outside tax year",IF(A168&lt;DATE(YEAR(TaxStart),7,6),"Q1",IF(A168&lt;DATE(YEAR(TaxStart),10,6),"Q2",IF(A168&lt;DATE(YEAR(TaxStart)+1,1,6),"Q3","Q4")))))</f>
        <v/>
      </c>
    </row>
    <row r="169">
      <c r="A169" s="8" t="n"/>
      <c r="B169" s="13" t="n"/>
      <c r="C169" s="13" t="n"/>
      <c r="D169" s="13" t="n"/>
      <c r="E169" s="11" t="n"/>
      <c r="F169" s="7">
        <f>IF(A169="","",IF(OR(A169&lt;TaxStart,A169&gt;TaxEnd),"Outside tax year",IF(A169&lt;DATE(YEAR(TaxStart),7,6),"Q1",IF(A169&lt;DATE(YEAR(TaxStart),10,6),"Q2",IF(A169&lt;DATE(YEAR(TaxStart)+1,1,6),"Q3","Q4")))))</f>
        <v/>
      </c>
    </row>
    <row r="170">
      <c r="A170" s="8" t="n"/>
      <c r="B170" s="13" t="n"/>
      <c r="C170" s="13" t="n"/>
      <c r="D170" s="13" t="n"/>
      <c r="E170" s="11" t="n"/>
      <c r="F170" s="7">
        <f>IF(A170="","",IF(OR(A170&lt;TaxStart,A170&gt;TaxEnd),"Outside tax year",IF(A170&lt;DATE(YEAR(TaxStart),7,6),"Q1",IF(A170&lt;DATE(YEAR(TaxStart),10,6),"Q2",IF(A170&lt;DATE(YEAR(TaxStart)+1,1,6),"Q3","Q4")))))</f>
        <v/>
      </c>
    </row>
    <row r="171">
      <c r="A171" s="8" t="n"/>
      <c r="B171" s="13" t="n"/>
      <c r="C171" s="13" t="n"/>
      <c r="D171" s="13" t="n"/>
      <c r="E171" s="11" t="n"/>
      <c r="F171" s="7">
        <f>IF(A171="","",IF(OR(A171&lt;TaxStart,A171&gt;TaxEnd),"Outside tax year",IF(A171&lt;DATE(YEAR(TaxStart),7,6),"Q1",IF(A171&lt;DATE(YEAR(TaxStart),10,6),"Q2",IF(A171&lt;DATE(YEAR(TaxStart)+1,1,6),"Q3","Q4")))))</f>
        <v/>
      </c>
    </row>
    <row r="172">
      <c r="A172" s="8" t="n"/>
      <c r="B172" s="13" t="n"/>
      <c r="C172" s="13" t="n"/>
      <c r="D172" s="13" t="n"/>
      <c r="E172" s="11" t="n"/>
      <c r="F172" s="7">
        <f>IF(A172="","",IF(OR(A172&lt;TaxStart,A172&gt;TaxEnd),"Outside tax year",IF(A172&lt;DATE(YEAR(TaxStart),7,6),"Q1",IF(A172&lt;DATE(YEAR(TaxStart),10,6),"Q2",IF(A172&lt;DATE(YEAR(TaxStart)+1,1,6),"Q3","Q4")))))</f>
        <v/>
      </c>
    </row>
    <row r="173">
      <c r="A173" s="8" t="n"/>
      <c r="B173" s="13" t="n"/>
      <c r="C173" s="13" t="n"/>
      <c r="D173" s="13" t="n"/>
      <c r="E173" s="11" t="n"/>
      <c r="F173" s="7">
        <f>IF(A173="","",IF(OR(A173&lt;TaxStart,A173&gt;TaxEnd),"Outside tax year",IF(A173&lt;DATE(YEAR(TaxStart),7,6),"Q1",IF(A173&lt;DATE(YEAR(TaxStart),10,6),"Q2",IF(A173&lt;DATE(YEAR(TaxStart)+1,1,6),"Q3","Q4")))))</f>
        <v/>
      </c>
    </row>
    <row r="174">
      <c r="A174" s="8" t="n"/>
      <c r="B174" s="13" t="n"/>
      <c r="C174" s="13" t="n"/>
      <c r="D174" s="13" t="n"/>
      <c r="E174" s="11" t="n"/>
      <c r="F174" s="7">
        <f>IF(A174="","",IF(OR(A174&lt;TaxStart,A174&gt;TaxEnd),"Outside tax year",IF(A174&lt;DATE(YEAR(TaxStart),7,6),"Q1",IF(A174&lt;DATE(YEAR(TaxStart),10,6),"Q2",IF(A174&lt;DATE(YEAR(TaxStart)+1,1,6),"Q3","Q4")))))</f>
        <v/>
      </c>
    </row>
    <row r="175">
      <c r="A175" s="8" t="n"/>
      <c r="B175" s="13" t="n"/>
      <c r="C175" s="13" t="n"/>
      <c r="D175" s="13" t="n"/>
      <c r="E175" s="11" t="n"/>
      <c r="F175" s="7">
        <f>IF(A175="","",IF(OR(A175&lt;TaxStart,A175&gt;TaxEnd),"Outside tax year",IF(A175&lt;DATE(YEAR(TaxStart),7,6),"Q1",IF(A175&lt;DATE(YEAR(TaxStart),10,6),"Q2",IF(A175&lt;DATE(YEAR(TaxStart)+1,1,6),"Q3","Q4")))))</f>
        <v/>
      </c>
    </row>
    <row r="176">
      <c r="A176" s="8" t="n"/>
      <c r="B176" s="13" t="n"/>
      <c r="C176" s="13" t="n"/>
      <c r="D176" s="13" t="n"/>
      <c r="E176" s="11" t="n"/>
      <c r="F176" s="7">
        <f>IF(A176="","",IF(OR(A176&lt;TaxStart,A176&gt;TaxEnd),"Outside tax year",IF(A176&lt;DATE(YEAR(TaxStart),7,6),"Q1",IF(A176&lt;DATE(YEAR(TaxStart),10,6),"Q2",IF(A176&lt;DATE(YEAR(TaxStart)+1,1,6),"Q3","Q4")))))</f>
        <v/>
      </c>
    </row>
    <row r="177">
      <c r="A177" s="8" t="n"/>
      <c r="B177" s="13" t="n"/>
      <c r="C177" s="13" t="n"/>
      <c r="D177" s="13" t="n"/>
      <c r="E177" s="11" t="n"/>
      <c r="F177" s="7">
        <f>IF(A177="","",IF(OR(A177&lt;TaxStart,A177&gt;TaxEnd),"Outside tax year",IF(A177&lt;DATE(YEAR(TaxStart),7,6),"Q1",IF(A177&lt;DATE(YEAR(TaxStart),10,6),"Q2",IF(A177&lt;DATE(YEAR(TaxStart)+1,1,6),"Q3","Q4")))))</f>
        <v/>
      </c>
    </row>
    <row r="178">
      <c r="A178" s="8" t="n"/>
      <c r="B178" s="13" t="n"/>
      <c r="C178" s="13" t="n"/>
      <c r="D178" s="13" t="n"/>
      <c r="E178" s="11" t="n"/>
      <c r="F178" s="7">
        <f>IF(A178="","",IF(OR(A178&lt;TaxStart,A178&gt;TaxEnd),"Outside tax year",IF(A178&lt;DATE(YEAR(TaxStart),7,6),"Q1",IF(A178&lt;DATE(YEAR(TaxStart),10,6),"Q2",IF(A178&lt;DATE(YEAR(TaxStart)+1,1,6),"Q3","Q4")))))</f>
        <v/>
      </c>
    </row>
    <row r="179">
      <c r="A179" s="8" t="n"/>
      <c r="B179" s="13" t="n"/>
      <c r="C179" s="13" t="n"/>
      <c r="D179" s="13" t="n"/>
      <c r="E179" s="11" t="n"/>
      <c r="F179" s="7">
        <f>IF(A179="","",IF(OR(A179&lt;TaxStart,A179&gt;TaxEnd),"Outside tax year",IF(A179&lt;DATE(YEAR(TaxStart),7,6),"Q1",IF(A179&lt;DATE(YEAR(TaxStart),10,6),"Q2",IF(A179&lt;DATE(YEAR(TaxStart)+1,1,6),"Q3","Q4")))))</f>
        <v/>
      </c>
    </row>
    <row r="180">
      <c r="A180" s="8" t="n"/>
      <c r="B180" s="13" t="n"/>
      <c r="C180" s="13" t="n"/>
      <c r="D180" s="13" t="n"/>
      <c r="E180" s="11" t="n"/>
      <c r="F180" s="7">
        <f>IF(A180="","",IF(OR(A180&lt;TaxStart,A180&gt;TaxEnd),"Outside tax year",IF(A180&lt;DATE(YEAR(TaxStart),7,6),"Q1",IF(A180&lt;DATE(YEAR(TaxStart),10,6),"Q2",IF(A180&lt;DATE(YEAR(TaxStart)+1,1,6),"Q3","Q4")))))</f>
        <v/>
      </c>
    </row>
    <row r="181">
      <c r="A181" s="8" t="n"/>
      <c r="B181" s="13" t="n"/>
      <c r="C181" s="13" t="n"/>
      <c r="D181" s="13" t="n"/>
      <c r="E181" s="11" t="n"/>
      <c r="F181" s="7">
        <f>IF(A181="","",IF(OR(A181&lt;TaxStart,A181&gt;TaxEnd),"Outside tax year",IF(A181&lt;DATE(YEAR(TaxStart),7,6),"Q1",IF(A181&lt;DATE(YEAR(TaxStart),10,6),"Q2",IF(A181&lt;DATE(YEAR(TaxStart)+1,1,6),"Q3","Q4")))))</f>
        <v/>
      </c>
    </row>
    <row r="182">
      <c r="A182" s="8" t="n"/>
      <c r="B182" s="13" t="n"/>
      <c r="C182" s="13" t="n"/>
      <c r="D182" s="13" t="n"/>
      <c r="E182" s="11" t="n"/>
      <c r="F182" s="7">
        <f>IF(A182="","",IF(OR(A182&lt;TaxStart,A182&gt;TaxEnd),"Outside tax year",IF(A182&lt;DATE(YEAR(TaxStart),7,6),"Q1",IF(A182&lt;DATE(YEAR(TaxStart),10,6),"Q2",IF(A182&lt;DATE(YEAR(TaxStart)+1,1,6),"Q3","Q4")))))</f>
        <v/>
      </c>
    </row>
    <row r="183">
      <c r="A183" s="8" t="n"/>
      <c r="B183" s="13" t="n"/>
      <c r="C183" s="13" t="n"/>
      <c r="D183" s="13" t="n"/>
      <c r="E183" s="11" t="n"/>
      <c r="F183" s="7">
        <f>IF(A183="","",IF(OR(A183&lt;TaxStart,A183&gt;TaxEnd),"Outside tax year",IF(A183&lt;DATE(YEAR(TaxStart),7,6),"Q1",IF(A183&lt;DATE(YEAR(TaxStart),10,6),"Q2",IF(A183&lt;DATE(YEAR(TaxStart)+1,1,6),"Q3","Q4")))))</f>
        <v/>
      </c>
    </row>
    <row r="184">
      <c r="A184" s="8" t="n"/>
      <c r="B184" s="13" t="n"/>
      <c r="C184" s="13" t="n"/>
      <c r="D184" s="13" t="n"/>
      <c r="E184" s="11" t="n"/>
      <c r="F184" s="7">
        <f>IF(A184="","",IF(OR(A184&lt;TaxStart,A184&gt;TaxEnd),"Outside tax year",IF(A184&lt;DATE(YEAR(TaxStart),7,6),"Q1",IF(A184&lt;DATE(YEAR(TaxStart),10,6),"Q2",IF(A184&lt;DATE(YEAR(TaxStart)+1,1,6),"Q3","Q4")))))</f>
        <v/>
      </c>
    </row>
    <row r="185">
      <c r="A185" s="8" t="n"/>
      <c r="B185" s="13" t="n"/>
      <c r="C185" s="13" t="n"/>
      <c r="D185" s="13" t="n"/>
      <c r="E185" s="11" t="n"/>
      <c r="F185" s="7">
        <f>IF(A185="","",IF(OR(A185&lt;TaxStart,A185&gt;TaxEnd),"Outside tax year",IF(A185&lt;DATE(YEAR(TaxStart),7,6),"Q1",IF(A185&lt;DATE(YEAR(TaxStart),10,6),"Q2",IF(A185&lt;DATE(YEAR(TaxStart)+1,1,6),"Q3","Q4")))))</f>
        <v/>
      </c>
    </row>
    <row r="186">
      <c r="A186" s="8" t="n"/>
      <c r="B186" s="13" t="n"/>
      <c r="C186" s="13" t="n"/>
      <c r="D186" s="13" t="n"/>
      <c r="E186" s="11" t="n"/>
      <c r="F186" s="7">
        <f>IF(A186="","",IF(OR(A186&lt;TaxStart,A186&gt;TaxEnd),"Outside tax year",IF(A186&lt;DATE(YEAR(TaxStart),7,6),"Q1",IF(A186&lt;DATE(YEAR(TaxStart),10,6),"Q2",IF(A186&lt;DATE(YEAR(TaxStart)+1,1,6),"Q3","Q4")))))</f>
        <v/>
      </c>
    </row>
    <row r="187">
      <c r="A187" s="8" t="n"/>
      <c r="B187" s="13" t="n"/>
      <c r="C187" s="13" t="n"/>
      <c r="D187" s="13" t="n"/>
      <c r="E187" s="11" t="n"/>
      <c r="F187" s="7">
        <f>IF(A187="","",IF(OR(A187&lt;TaxStart,A187&gt;TaxEnd),"Outside tax year",IF(A187&lt;DATE(YEAR(TaxStart),7,6),"Q1",IF(A187&lt;DATE(YEAR(TaxStart),10,6),"Q2",IF(A187&lt;DATE(YEAR(TaxStart)+1,1,6),"Q3","Q4")))))</f>
        <v/>
      </c>
    </row>
    <row r="188">
      <c r="A188" s="8" t="n"/>
      <c r="B188" s="13" t="n"/>
      <c r="C188" s="13" t="n"/>
      <c r="D188" s="13" t="n"/>
      <c r="E188" s="11" t="n"/>
      <c r="F188" s="7">
        <f>IF(A188="","",IF(OR(A188&lt;TaxStart,A188&gt;TaxEnd),"Outside tax year",IF(A188&lt;DATE(YEAR(TaxStart),7,6),"Q1",IF(A188&lt;DATE(YEAR(TaxStart),10,6),"Q2",IF(A188&lt;DATE(YEAR(TaxStart)+1,1,6),"Q3","Q4")))))</f>
        <v/>
      </c>
    </row>
    <row r="189">
      <c r="A189" s="8" t="n"/>
      <c r="B189" s="13" t="n"/>
      <c r="C189" s="13" t="n"/>
      <c r="D189" s="13" t="n"/>
      <c r="E189" s="11" t="n"/>
      <c r="F189" s="7">
        <f>IF(A189="","",IF(OR(A189&lt;TaxStart,A189&gt;TaxEnd),"Outside tax year",IF(A189&lt;DATE(YEAR(TaxStart),7,6),"Q1",IF(A189&lt;DATE(YEAR(TaxStart),10,6),"Q2",IF(A189&lt;DATE(YEAR(TaxStart)+1,1,6),"Q3","Q4")))))</f>
        <v/>
      </c>
    </row>
    <row r="190">
      <c r="A190" s="8" t="n"/>
      <c r="B190" s="13" t="n"/>
      <c r="C190" s="13" t="n"/>
      <c r="D190" s="13" t="n"/>
      <c r="E190" s="11" t="n"/>
      <c r="F190" s="7">
        <f>IF(A190="","",IF(OR(A190&lt;TaxStart,A190&gt;TaxEnd),"Outside tax year",IF(A190&lt;DATE(YEAR(TaxStart),7,6),"Q1",IF(A190&lt;DATE(YEAR(TaxStart),10,6),"Q2",IF(A190&lt;DATE(YEAR(TaxStart)+1,1,6),"Q3","Q4")))))</f>
        <v/>
      </c>
    </row>
    <row r="191">
      <c r="A191" s="8" t="n"/>
      <c r="B191" s="13" t="n"/>
      <c r="C191" s="13" t="n"/>
      <c r="D191" s="13" t="n"/>
      <c r="E191" s="11" t="n"/>
      <c r="F191" s="7">
        <f>IF(A191="","",IF(OR(A191&lt;TaxStart,A191&gt;TaxEnd),"Outside tax year",IF(A191&lt;DATE(YEAR(TaxStart),7,6),"Q1",IF(A191&lt;DATE(YEAR(TaxStart),10,6),"Q2",IF(A191&lt;DATE(YEAR(TaxStart)+1,1,6),"Q3","Q4")))))</f>
        <v/>
      </c>
    </row>
    <row r="192">
      <c r="A192" s="8" t="n"/>
      <c r="B192" s="13" t="n"/>
      <c r="C192" s="13" t="n"/>
      <c r="D192" s="13" t="n"/>
      <c r="E192" s="11" t="n"/>
      <c r="F192" s="7">
        <f>IF(A192="","",IF(OR(A192&lt;TaxStart,A192&gt;TaxEnd),"Outside tax year",IF(A192&lt;DATE(YEAR(TaxStart),7,6),"Q1",IF(A192&lt;DATE(YEAR(TaxStart),10,6),"Q2",IF(A192&lt;DATE(YEAR(TaxStart)+1,1,6),"Q3","Q4")))))</f>
        <v/>
      </c>
    </row>
    <row r="193">
      <c r="A193" s="8" t="n"/>
      <c r="B193" s="13" t="n"/>
      <c r="C193" s="13" t="n"/>
      <c r="D193" s="13" t="n"/>
      <c r="E193" s="11" t="n"/>
      <c r="F193" s="7">
        <f>IF(A193="","",IF(OR(A193&lt;TaxStart,A193&gt;TaxEnd),"Outside tax year",IF(A193&lt;DATE(YEAR(TaxStart),7,6),"Q1",IF(A193&lt;DATE(YEAR(TaxStart),10,6),"Q2",IF(A193&lt;DATE(YEAR(TaxStart)+1,1,6),"Q3","Q4")))))</f>
        <v/>
      </c>
    </row>
    <row r="194">
      <c r="A194" s="8" t="n"/>
      <c r="B194" s="13" t="n"/>
      <c r="C194" s="13" t="n"/>
      <c r="D194" s="13" t="n"/>
      <c r="E194" s="11" t="n"/>
      <c r="F194" s="7">
        <f>IF(A194="","",IF(OR(A194&lt;TaxStart,A194&gt;TaxEnd),"Outside tax year",IF(A194&lt;DATE(YEAR(TaxStart),7,6),"Q1",IF(A194&lt;DATE(YEAR(TaxStart),10,6),"Q2",IF(A194&lt;DATE(YEAR(TaxStart)+1,1,6),"Q3","Q4")))))</f>
        <v/>
      </c>
    </row>
    <row r="195">
      <c r="A195" s="8" t="n"/>
      <c r="B195" s="13" t="n"/>
      <c r="C195" s="13" t="n"/>
      <c r="D195" s="13" t="n"/>
      <c r="E195" s="11" t="n"/>
      <c r="F195" s="7">
        <f>IF(A195="","",IF(OR(A195&lt;TaxStart,A195&gt;TaxEnd),"Outside tax year",IF(A195&lt;DATE(YEAR(TaxStart),7,6),"Q1",IF(A195&lt;DATE(YEAR(TaxStart),10,6),"Q2",IF(A195&lt;DATE(YEAR(TaxStart)+1,1,6),"Q3","Q4")))))</f>
        <v/>
      </c>
    </row>
    <row r="196">
      <c r="A196" s="8" t="n"/>
      <c r="B196" s="13" t="n"/>
      <c r="C196" s="13" t="n"/>
      <c r="D196" s="13" t="n"/>
      <c r="E196" s="11" t="n"/>
      <c r="F196" s="7">
        <f>IF(A196="","",IF(OR(A196&lt;TaxStart,A196&gt;TaxEnd),"Outside tax year",IF(A196&lt;DATE(YEAR(TaxStart),7,6),"Q1",IF(A196&lt;DATE(YEAR(TaxStart),10,6),"Q2",IF(A196&lt;DATE(YEAR(TaxStart)+1,1,6),"Q3","Q4")))))</f>
        <v/>
      </c>
    </row>
    <row r="197">
      <c r="A197" s="8" t="n"/>
      <c r="B197" s="13" t="n"/>
      <c r="C197" s="13" t="n"/>
      <c r="D197" s="13" t="n"/>
      <c r="E197" s="11" t="n"/>
      <c r="F197" s="7">
        <f>IF(A197="","",IF(OR(A197&lt;TaxStart,A197&gt;TaxEnd),"Outside tax year",IF(A197&lt;DATE(YEAR(TaxStart),7,6),"Q1",IF(A197&lt;DATE(YEAR(TaxStart),10,6),"Q2",IF(A197&lt;DATE(YEAR(TaxStart)+1,1,6),"Q3","Q4")))))</f>
        <v/>
      </c>
    </row>
    <row r="198">
      <c r="A198" s="8" t="n"/>
      <c r="B198" s="13" t="n"/>
      <c r="C198" s="13" t="n"/>
      <c r="D198" s="13" t="n"/>
      <c r="E198" s="11" t="n"/>
      <c r="F198" s="7">
        <f>IF(A198="","",IF(OR(A198&lt;TaxStart,A198&gt;TaxEnd),"Outside tax year",IF(A198&lt;DATE(YEAR(TaxStart),7,6),"Q1",IF(A198&lt;DATE(YEAR(TaxStart),10,6),"Q2",IF(A198&lt;DATE(YEAR(TaxStart)+1,1,6),"Q3","Q4")))))</f>
        <v/>
      </c>
    </row>
    <row r="199">
      <c r="A199" s="8" t="n"/>
      <c r="B199" s="13" t="n"/>
      <c r="C199" s="13" t="n"/>
      <c r="D199" s="13" t="n"/>
      <c r="E199" s="11" t="n"/>
      <c r="F199" s="7">
        <f>IF(A199="","",IF(OR(A199&lt;TaxStart,A199&gt;TaxEnd),"Outside tax year",IF(A199&lt;DATE(YEAR(TaxStart),7,6),"Q1",IF(A199&lt;DATE(YEAR(TaxStart),10,6),"Q2",IF(A199&lt;DATE(YEAR(TaxStart)+1,1,6),"Q3","Q4")))))</f>
        <v/>
      </c>
    </row>
    <row r="200">
      <c r="A200" s="8" t="n"/>
      <c r="B200" s="13" t="n"/>
      <c r="C200" s="13" t="n"/>
      <c r="D200" s="13" t="n"/>
      <c r="E200" s="11" t="n"/>
      <c r="F200" s="7">
        <f>IF(A200="","",IF(OR(A200&lt;TaxStart,A200&gt;TaxEnd),"Outside tax year",IF(A200&lt;DATE(YEAR(TaxStart),7,6),"Q1",IF(A200&lt;DATE(YEAR(TaxStart),10,6),"Q2",IF(A200&lt;DATE(YEAR(TaxStart)+1,1,6),"Q3","Q4")))))</f>
        <v/>
      </c>
    </row>
    <row r="201">
      <c r="A201" s="8" t="n"/>
      <c r="B201" s="13" t="n"/>
      <c r="C201" s="13" t="n"/>
      <c r="D201" s="13" t="n"/>
      <c r="E201" s="11" t="n"/>
      <c r="F201" s="7">
        <f>IF(A201="","",IF(OR(A201&lt;TaxStart,A201&gt;TaxEnd),"Outside tax year",IF(A201&lt;DATE(YEAR(TaxStart),7,6),"Q1",IF(A201&lt;DATE(YEAR(TaxStart),10,6),"Q2",IF(A201&lt;DATE(YEAR(TaxStart)+1,1,6),"Q3","Q4")))))</f>
        <v/>
      </c>
    </row>
    <row r="202">
      <c r="A202" s="8" t="n"/>
      <c r="B202" s="13" t="n"/>
      <c r="C202" s="13" t="n"/>
      <c r="D202" s="13" t="n"/>
      <c r="E202" s="11" t="n"/>
      <c r="F202" s="7">
        <f>IF(A202="","",IF(OR(A202&lt;TaxStart,A202&gt;TaxEnd),"Outside tax year",IF(A202&lt;DATE(YEAR(TaxStart),7,6),"Q1",IF(A202&lt;DATE(YEAR(TaxStart),10,6),"Q2",IF(A202&lt;DATE(YEAR(TaxStart)+1,1,6),"Q3","Q4")))))</f>
        <v/>
      </c>
    </row>
    <row r="203">
      <c r="A203" s="8" t="n"/>
      <c r="B203" s="13" t="n"/>
      <c r="C203" s="13" t="n"/>
      <c r="D203" s="13" t="n"/>
      <c r="E203" s="11" t="n"/>
      <c r="F203" s="7">
        <f>IF(A203="","",IF(OR(A203&lt;TaxStart,A203&gt;TaxEnd),"Outside tax year",IF(A203&lt;DATE(YEAR(TaxStart),7,6),"Q1",IF(A203&lt;DATE(YEAR(TaxStart),10,6),"Q2",IF(A203&lt;DATE(YEAR(TaxStart)+1,1,6),"Q3","Q4")))))</f>
        <v/>
      </c>
    </row>
    <row r="204">
      <c r="A204" s="8" t="n"/>
      <c r="B204" s="13" t="n"/>
      <c r="C204" s="13" t="n"/>
      <c r="D204" s="13" t="n"/>
      <c r="E204" s="11" t="n"/>
      <c r="F204" s="7">
        <f>IF(A204="","",IF(OR(A204&lt;TaxStart,A204&gt;TaxEnd),"Outside tax year",IF(A204&lt;DATE(YEAR(TaxStart),7,6),"Q1",IF(A204&lt;DATE(YEAR(TaxStart),10,6),"Q2",IF(A204&lt;DATE(YEAR(TaxStart)+1,1,6),"Q3","Q4")))))</f>
        <v/>
      </c>
    </row>
    <row r="205">
      <c r="A205" s="8" t="n"/>
      <c r="B205" s="13" t="n"/>
      <c r="C205" s="13" t="n"/>
      <c r="D205" s="13" t="n"/>
      <c r="E205" s="11" t="n"/>
      <c r="F205" s="7">
        <f>IF(A205="","",IF(OR(A205&lt;TaxStart,A205&gt;TaxEnd),"Outside tax year",IF(A205&lt;DATE(YEAR(TaxStart),7,6),"Q1",IF(A205&lt;DATE(YEAR(TaxStart),10,6),"Q2",IF(A205&lt;DATE(YEAR(TaxStart)+1,1,6),"Q3","Q4")))))</f>
        <v/>
      </c>
    </row>
    <row r="206">
      <c r="A206" s="8" t="n"/>
      <c r="B206" s="13" t="n"/>
      <c r="C206" s="13" t="n"/>
      <c r="D206" s="13" t="n"/>
      <c r="E206" s="11" t="n"/>
      <c r="F206" s="7">
        <f>IF(A206="","",IF(OR(A206&lt;TaxStart,A206&gt;TaxEnd),"Outside tax year",IF(A206&lt;DATE(YEAR(TaxStart),7,6),"Q1",IF(A206&lt;DATE(YEAR(TaxStart),10,6),"Q2",IF(A206&lt;DATE(YEAR(TaxStart)+1,1,6),"Q3","Q4")))))</f>
        <v/>
      </c>
    </row>
    <row r="207">
      <c r="A207" s="8" t="n"/>
      <c r="B207" s="13" t="n"/>
      <c r="C207" s="13" t="n"/>
      <c r="D207" s="13" t="n"/>
      <c r="E207" s="11" t="n"/>
      <c r="F207" s="7">
        <f>IF(A207="","",IF(OR(A207&lt;TaxStart,A207&gt;TaxEnd),"Outside tax year",IF(A207&lt;DATE(YEAR(TaxStart),7,6),"Q1",IF(A207&lt;DATE(YEAR(TaxStart),10,6),"Q2",IF(A207&lt;DATE(YEAR(TaxStart)+1,1,6),"Q3","Q4")))))</f>
        <v/>
      </c>
    </row>
    <row r="208">
      <c r="A208" s="8" t="n"/>
      <c r="B208" s="13" t="n"/>
      <c r="C208" s="13" t="n"/>
      <c r="D208" s="13" t="n"/>
      <c r="E208" s="11" t="n"/>
      <c r="F208" s="7">
        <f>IF(A208="","",IF(OR(A208&lt;TaxStart,A208&gt;TaxEnd),"Outside tax year",IF(A208&lt;DATE(YEAR(TaxStart),7,6),"Q1",IF(A208&lt;DATE(YEAR(TaxStart),10,6),"Q2",IF(A208&lt;DATE(YEAR(TaxStart)+1,1,6),"Q3","Q4")))))</f>
        <v/>
      </c>
    </row>
    <row r="209">
      <c r="A209" s="8" t="n"/>
      <c r="B209" s="13" t="n"/>
      <c r="C209" s="13" t="n"/>
      <c r="D209" s="13" t="n"/>
      <c r="E209" s="11" t="n"/>
      <c r="F209" s="7">
        <f>IF(A209="","",IF(OR(A209&lt;TaxStart,A209&gt;TaxEnd),"Outside tax year",IF(A209&lt;DATE(YEAR(TaxStart),7,6),"Q1",IF(A209&lt;DATE(YEAR(TaxStart),10,6),"Q2",IF(A209&lt;DATE(YEAR(TaxStart)+1,1,6),"Q3","Q4")))))</f>
        <v/>
      </c>
    </row>
    <row r="210">
      <c r="A210" s="8" t="n"/>
      <c r="B210" s="13" t="n"/>
      <c r="C210" s="13" t="n"/>
      <c r="D210" s="13" t="n"/>
      <c r="E210" s="11" t="n"/>
      <c r="F210" s="7">
        <f>IF(A210="","",IF(OR(A210&lt;TaxStart,A210&gt;TaxEnd),"Outside tax year",IF(A210&lt;DATE(YEAR(TaxStart),7,6),"Q1",IF(A210&lt;DATE(YEAR(TaxStart),10,6),"Q2",IF(A210&lt;DATE(YEAR(TaxStart)+1,1,6),"Q3","Q4")))))</f>
        <v/>
      </c>
    </row>
    <row r="211">
      <c r="A211" s="8" t="n"/>
      <c r="B211" s="13" t="n"/>
      <c r="C211" s="13" t="n"/>
      <c r="D211" s="13" t="n"/>
      <c r="E211" s="11" t="n"/>
      <c r="F211" s="7">
        <f>IF(A211="","",IF(OR(A211&lt;TaxStart,A211&gt;TaxEnd),"Outside tax year",IF(A211&lt;DATE(YEAR(TaxStart),7,6),"Q1",IF(A211&lt;DATE(YEAR(TaxStart),10,6),"Q2",IF(A211&lt;DATE(YEAR(TaxStart)+1,1,6),"Q3","Q4")))))</f>
        <v/>
      </c>
    </row>
    <row r="212">
      <c r="A212" s="8" t="n"/>
      <c r="B212" s="13" t="n"/>
      <c r="C212" s="13" t="n"/>
      <c r="D212" s="13" t="n"/>
      <c r="E212" s="11" t="n"/>
      <c r="F212" s="7">
        <f>IF(A212="","",IF(OR(A212&lt;TaxStart,A212&gt;TaxEnd),"Outside tax year",IF(A212&lt;DATE(YEAR(TaxStart),7,6),"Q1",IF(A212&lt;DATE(YEAR(TaxStart),10,6),"Q2",IF(A212&lt;DATE(YEAR(TaxStart)+1,1,6),"Q3","Q4")))))</f>
        <v/>
      </c>
    </row>
    <row r="213">
      <c r="A213" s="8" t="n"/>
      <c r="B213" s="13" t="n"/>
      <c r="C213" s="13" t="n"/>
      <c r="D213" s="13" t="n"/>
      <c r="E213" s="11" t="n"/>
      <c r="F213" s="7">
        <f>IF(A213="","",IF(OR(A213&lt;TaxStart,A213&gt;TaxEnd),"Outside tax year",IF(A213&lt;DATE(YEAR(TaxStart),7,6),"Q1",IF(A213&lt;DATE(YEAR(TaxStart),10,6),"Q2",IF(A213&lt;DATE(YEAR(TaxStart)+1,1,6),"Q3","Q4")))))</f>
        <v/>
      </c>
    </row>
    <row r="214">
      <c r="A214" s="8" t="n"/>
      <c r="B214" s="13" t="n"/>
      <c r="C214" s="13" t="n"/>
      <c r="D214" s="13" t="n"/>
      <c r="E214" s="11" t="n"/>
      <c r="F214" s="7">
        <f>IF(A214="","",IF(OR(A214&lt;TaxStart,A214&gt;TaxEnd),"Outside tax year",IF(A214&lt;DATE(YEAR(TaxStart),7,6),"Q1",IF(A214&lt;DATE(YEAR(TaxStart),10,6),"Q2",IF(A214&lt;DATE(YEAR(TaxStart)+1,1,6),"Q3","Q4")))))</f>
        <v/>
      </c>
    </row>
    <row r="215">
      <c r="A215" s="8" t="n"/>
      <c r="B215" s="13" t="n"/>
      <c r="C215" s="13" t="n"/>
      <c r="D215" s="13" t="n"/>
      <c r="E215" s="11" t="n"/>
      <c r="F215" s="7">
        <f>IF(A215="","",IF(OR(A215&lt;TaxStart,A215&gt;TaxEnd),"Outside tax year",IF(A215&lt;DATE(YEAR(TaxStart),7,6),"Q1",IF(A215&lt;DATE(YEAR(TaxStart),10,6),"Q2",IF(A215&lt;DATE(YEAR(TaxStart)+1,1,6),"Q3","Q4")))))</f>
        <v/>
      </c>
    </row>
    <row r="216">
      <c r="A216" s="8" t="n"/>
      <c r="B216" s="13" t="n"/>
      <c r="C216" s="13" t="n"/>
      <c r="D216" s="13" t="n"/>
      <c r="E216" s="11" t="n"/>
      <c r="F216" s="7">
        <f>IF(A216="","",IF(OR(A216&lt;TaxStart,A216&gt;TaxEnd),"Outside tax year",IF(A216&lt;DATE(YEAR(TaxStart),7,6),"Q1",IF(A216&lt;DATE(YEAR(TaxStart),10,6),"Q2",IF(A216&lt;DATE(YEAR(TaxStart)+1,1,6),"Q3","Q4")))))</f>
        <v/>
      </c>
    </row>
    <row r="217">
      <c r="A217" s="8" t="n"/>
      <c r="B217" s="13" t="n"/>
      <c r="C217" s="13" t="n"/>
      <c r="D217" s="13" t="n"/>
      <c r="E217" s="11" t="n"/>
      <c r="F217" s="7">
        <f>IF(A217="","",IF(OR(A217&lt;TaxStart,A217&gt;TaxEnd),"Outside tax year",IF(A217&lt;DATE(YEAR(TaxStart),7,6),"Q1",IF(A217&lt;DATE(YEAR(TaxStart),10,6),"Q2",IF(A217&lt;DATE(YEAR(TaxStart)+1,1,6),"Q3","Q4")))))</f>
        <v/>
      </c>
    </row>
    <row r="218">
      <c r="A218" s="8" t="n"/>
      <c r="B218" s="13" t="n"/>
      <c r="C218" s="13" t="n"/>
      <c r="D218" s="13" t="n"/>
      <c r="E218" s="11" t="n"/>
      <c r="F218" s="7">
        <f>IF(A218="","",IF(OR(A218&lt;TaxStart,A218&gt;TaxEnd),"Outside tax year",IF(A218&lt;DATE(YEAR(TaxStart),7,6),"Q1",IF(A218&lt;DATE(YEAR(TaxStart),10,6),"Q2",IF(A218&lt;DATE(YEAR(TaxStart)+1,1,6),"Q3","Q4")))))</f>
        <v/>
      </c>
    </row>
    <row r="219">
      <c r="A219" s="8" t="n"/>
      <c r="B219" s="13" t="n"/>
      <c r="C219" s="13" t="n"/>
      <c r="D219" s="13" t="n"/>
      <c r="E219" s="11" t="n"/>
      <c r="F219" s="7">
        <f>IF(A219="","",IF(OR(A219&lt;TaxStart,A219&gt;TaxEnd),"Outside tax year",IF(A219&lt;DATE(YEAR(TaxStart),7,6),"Q1",IF(A219&lt;DATE(YEAR(TaxStart),10,6),"Q2",IF(A219&lt;DATE(YEAR(TaxStart)+1,1,6),"Q3","Q4")))))</f>
        <v/>
      </c>
    </row>
    <row r="220">
      <c r="A220" s="8" t="n"/>
      <c r="B220" s="13" t="n"/>
      <c r="C220" s="13" t="n"/>
      <c r="D220" s="13" t="n"/>
      <c r="E220" s="11" t="n"/>
      <c r="F220" s="7">
        <f>IF(A220="","",IF(OR(A220&lt;TaxStart,A220&gt;TaxEnd),"Outside tax year",IF(A220&lt;DATE(YEAR(TaxStart),7,6),"Q1",IF(A220&lt;DATE(YEAR(TaxStart),10,6),"Q2",IF(A220&lt;DATE(YEAR(TaxStart)+1,1,6),"Q3","Q4")))))</f>
        <v/>
      </c>
    </row>
    <row r="221">
      <c r="A221" s="8" t="n"/>
      <c r="B221" s="13" t="n"/>
      <c r="C221" s="13" t="n"/>
      <c r="D221" s="13" t="n"/>
      <c r="E221" s="11" t="n"/>
      <c r="F221" s="7">
        <f>IF(A221="","",IF(OR(A221&lt;TaxStart,A221&gt;TaxEnd),"Outside tax year",IF(A221&lt;DATE(YEAR(TaxStart),7,6),"Q1",IF(A221&lt;DATE(YEAR(TaxStart),10,6),"Q2",IF(A221&lt;DATE(YEAR(TaxStart)+1,1,6),"Q3","Q4")))))</f>
        <v/>
      </c>
    </row>
    <row r="222">
      <c r="A222" s="8" t="n"/>
      <c r="B222" s="13" t="n"/>
      <c r="C222" s="13" t="n"/>
      <c r="D222" s="13" t="n"/>
      <c r="E222" s="11" t="n"/>
      <c r="F222" s="7">
        <f>IF(A222="","",IF(OR(A222&lt;TaxStart,A222&gt;TaxEnd),"Outside tax year",IF(A222&lt;DATE(YEAR(TaxStart),7,6),"Q1",IF(A222&lt;DATE(YEAR(TaxStart),10,6),"Q2",IF(A222&lt;DATE(YEAR(TaxStart)+1,1,6),"Q3","Q4")))))</f>
        <v/>
      </c>
    </row>
    <row r="223">
      <c r="A223" s="8" t="n"/>
      <c r="B223" s="13" t="n"/>
      <c r="C223" s="13" t="n"/>
      <c r="D223" s="13" t="n"/>
      <c r="E223" s="11" t="n"/>
      <c r="F223" s="7">
        <f>IF(A223="","",IF(OR(A223&lt;TaxStart,A223&gt;TaxEnd),"Outside tax year",IF(A223&lt;DATE(YEAR(TaxStart),7,6),"Q1",IF(A223&lt;DATE(YEAR(TaxStart),10,6),"Q2",IF(A223&lt;DATE(YEAR(TaxStart)+1,1,6),"Q3","Q4")))))</f>
        <v/>
      </c>
    </row>
    <row r="224">
      <c r="A224" s="8" t="n"/>
      <c r="B224" s="13" t="n"/>
      <c r="C224" s="13" t="n"/>
      <c r="D224" s="13" t="n"/>
      <c r="E224" s="11" t="n"/>
      <c r="F224" s="7">
        <f>IF(A224="","",IF(OR(A224&lt;TaxStart,A224&gt;TaxEnd),"Outside tax year",IF(A224&lt;DATE(YEAR(TaxStart),7,6),"Q1",IF(A224&lt;DATE(YEAR(TaxStart),10,6),"Q2",IF(A224&lt;DATE(YEAR(TaxStart)+1,1,6),"Q3","Q4")))))</f>
        <v/>
      </c>
    </row>
    <row r="225">
      <c r="A225" s="8" t="n"/>
      <c r="B225" s="13" t="n"/>
      <c r="C225" s="13" t="n"/>
      <c r="D225" s="13" t="n"/>
      <c r="E225" s="11" t="n"/>
      <c r="F225" s="7">
        <f>IF(A225="","",IF(OR(A225&lt;TaxStart,A225&gt;TaxEnd),"Outside tax year",IF(A225&lt;DATE(YEAR(TaxStart),7,6),"Q1",IF(A225&lt;DATE(YEAR(TaxStart),10,6),"Q2",IF(A225&lt;DATE(YEAR(TaxStart)+1,1,6),"Q3","Q4")))))</f>
        <v/>
      </c>
    </row>
    <row r="226">
      <c r="A226" s="8" t="n"/>
      <c r="B226" s="13" t="n"/>
      <c r="C226" s="13" t="n"/>
      <c r="D226" s="13" t="n"/>
      <c r="E226" s="11" t="n"/>
      <c r="F226" s="7">
        <f>IF(A226="","",IF(OR(A226&lt;TaxStart,A226&gt;TaxEnd),"Outside tax year",IF(A226&lt;DATE(YEAR(TaxStart),7,6),"Q1",IF(A226&lt;DATE(YEAR(TaxStart),10,6),"Q2",IF(A226&lt;DATE(YEAR(TaxStart)+1,1,6),"Q3","Q4")))))</f>
        <v/>
      </c>
    </row>
    <row r="227">
      <c r="A227" s="8" t="n"/>
      <c r="B227" s="13" t="n"/>
      <c r="C227" s="13" t="n"/>
      <c r="D227" s="13" t="n"/>
      <c r="E227" s="11" t="n"/>
      <c r="F227" s="7">
        <f>IF(A227="","",IF(OR(A227&lt;TaxStart,A227&gt;TaxEnd),"Outside tax year",IF(A227&lt;DATE(YEAR(TaxStart),7,6),"Q1",IF(A227&lt;DATE(YEAR(TaxStart),10,6),"Q2",IF(A227&lt;DATE(YEAR(TaxStart)+1,1,6),"Q3","Q4")))))</f>
        <v/>
      </c>
    </row>
    <row r="228">
      <c r="A228" s="8" t="n"/>
      <c r="B228" s="13" t="n"/>
      <c r="C228" s="13" t="n"/>
      <c r="D228" s="13" t="n"/>
      <c r="E228" s="11" t="n"/>
      <c r="F228" s="7">
        <f>IF(A228="","",IF(OR(A228&lt;TaxStart,A228&gt;TaxEnd),"Outside tax year",IF(A228&lt;DATE(YEAR(TaxStart),7,6),"Q1",IF(A228&lt;DATE(YEAR(TaxStart),10,6),"Q2",IF(A228&lt;DATE(YEAR(TaxStart)+1,1,6),"Q3","Q4")))))</f>
        <v/>
      </c>
    </row>
    <row r="229">
      <c r="A229" s="8" t="n"/>
      <c r="B229" s="13" t="n"/>
      <c r="C229" s="13" t="n"/>
      <c r="D229" s="13" t="n"/>
      <c r="E229" s="11" t="n"/>
      <c r="F229" s="7">
        <f>IF(A229="","",IF(OR(A229&lt;TaxStart,A229&gt;TaxEnd),"Outside tax year",IF(A229&lt;DATE(YEAR(TaxStart),7,6),"Q1",IF(A229&lt;DATE(YEAR(TaxStart),10,6),"Q2",IF(A229&lt;DATE(YEAR(TaxStart)+1,1,6),"Q3","Q4")))))</f>
        <v/>
      </c>
    </row>
    <row r="230">
      <c r="A230" s="8" t="n"/>
      <c r="B230" s="13" t="n"/>
      <c r="C230" s="13" t="n"/>
      <c r="D230" s="13" t="n"/>
      <c r="E230" s="11" t="n"/>
      <c r="F230" s="7">
        <f>IF(A230="","",IF(OR(A230&lt;TaxStart,A230&gt;TaxEnd),"Outside tax year",IF(A230&lt;DATE(YEAR(TaxStart),7,6),"Q1",IF(A230&lt;DATE(YEAR(TaxStart),10,6),"Q2",IF(A230&lt;DATE(YEAR(TaxStart)+1,1,6),"Q3","Q4")))))</f>
        <v/>
      </c>
    </row>
    <row r="231">
      <c r="A231" s="8" t="n"/>
      <c r="B231" s="13" t="n"/>
      <c r="C231" s="13" t="n"/>
      <c r="D231" s="13" t="n"/>
      <c r="E231" s="11" t="n"/>
      <c r="F231" s="7">
        <f>IF(A231="","",IF(OR(A231&lt;TaxStart,A231&gt;TaxEnd),"Outside tax year",IF(A231&lt;DATE(YEAR(TaxStart),7,6),"Q1",IF(A231&lt;DATE(YEAR(TaxStart),10,6),"Q2",IF(A231&lt;DATE(YEAR(TaxStart)+1,1,6),"Q3","Q4")))))</f>
        <v/>
      </c>
    </row>
    <row r="232">
      <c r="A232" s="8" t="n"/>
      <c r="B232" s="13" t="n"/>
      <c r="C232" s="13" t="n"/>
      <c r="D232" s="13" t="n"/>
      <c r="E232" s="11" t="n"/>
      <c r="F232" s="7">
        <f>IF(A232="","",IF(OR(A232&lt;TaxStart,A232&gt;TaxEnd),"Outside tax year",IF(A232&lt;DATE(YEAR(TaxStart),7,6),"Q1",IF(A232&lt;DATE(YEAR(TaxStart),10,6),"Q2",IF(A232&lt;DATE(YEAR(TaxStart)+1,1,6),"Q3","Q4")))))</f>
        <v/>
      </c>
    </row>
    <row r="233">
      <c r="A233" s="8" t="n"/>
      <c r="B233" s="13" t="n"/>
      <c r="C233" s="13" t="n"/>
      <c r="D233" s="13" t="n"/>
      <c r="E233" s="11" t="n"/>
      <c r="F233" s="7">
        <f>IF(A233="","",IF(OR(A233&lt;TaxStart,A233&gt;TaxEnd),"Outside tax year",IF(A233&lt;DATE(YEAR(TaxStart),7,6),"Q1",IF(A233&lt;DATE(YEAR(TaxStart),10,6),"Q2",IF(A233&lt;DATE(YEAR(TaxStart)+1,1,6),"Q3","Q4")))))</f>
        <v/>
      </c>
    </row>
    <row r="234">
      <c r="A234" s="8" t="n"/>
      <c r="B234" s="13" t="n"/>
      <c r="C234" s="13" t="n"/>
      <c r="D234" s="13" t="n"/>
      <c r="E234" s="11" t="n"/>
      <c r="F234" s="7">
        <f>IF(A234="","",IF(OR(A234&lt;TaxStart,A234&gt;TaxEnd),"Outside tax year",IF(A234&lt;DATE(YEAR(TaxStart),7,6),"Q1",IF(A234&lt;DATE(YEAR(TaxStart),10,6),"Q2",IF(A234&lt;DATE(YEAR(TaxStart)+1,1,6),"Q3","Q4")))))</f>
        <v/>
      </c>
    </row>
    <row r="235">
      <c r="A235" s="8" t="n"/>
      <c r="B235" s="13" t="n"/>
      <c r="C235" s="13" t="n"/>
      <c r="D235" s="13" t="n"/>
      <c r="E235" s="11" t="n"/>
      <c r="F235" s="7">
        <f>IF(A235="","",IF(OR(A235&lt;TaxStart,A235&gt;TaxEnd),"Outside tax year",IF(A235&lt;DATE(YEAR(TaxStart),7,6),"Q1",IF(A235&lt;DATE(YEAR(TaxStart),10,6),"Q2",IF(A235&lt;DATE(YEAR(TaxStart)+1,1,6),"Q3","Q4")))))</f>
        <v/>
      </c>
    </row>
    <row r="236">
      <c r="A236" s="8" t="n"/>
      <c r="B236" s="13" t="n"/>
      <c r="C236" s="13" t="n"/>
      <c r="D236" s="13" t="n"/>
      <c r="E236" s="11" t="n"/>
      <c r="F236" s="7">
        <f>IF(A236="","",IF(OR(A236&lt;TaxStart,A236&gt;TaxEnd),"Outside tax year",IF(A236&lt;DATE(YEAR(TaxStart),7,6),"Q1",IF(A236&lt;DATE(YEAR(TaxStart),10,6),"Q2",IF(A236&lt;DATE(YEAR(TaxStart)+1,1,6),"Q3","Q4")))))</f>
        <v/>
      </c>
    </row>
    <row r="237">
      <c r="A237" s="8" t="n"/>
      <c r="B237" s="13" t="n"/>
      <c r="C237" s="13" t="n"/>
      <c r="D237" s="13" t="n"/>
      <c r="E237" s="11" t="n"/>
      <c r="F237" s="7">
        <f>IF(A237="","",IF(OR(A237&lt;TaxStart,A237&gt;TaxEnd),"Outside tax year",IF(A237&lt;DATE(YEAR(TaxStart),7,6),"Q1",IF(A237&lt;DATE(YEAR(TaxStart),10,6),"Q2",IF(A237&lt;DATE(YEAR(TaxStart)+1,1,6),"Q3","Q4")))))</f>
        <v/>
      </c>
    </row>
    <row r="238">
      <c r="A238" s="8" t="n"/>
      <c r="B238" s="13" t="n"/>
      <c r="C238" s="13" t="n"/>
      <c r="D238" s="13" t="n"/>
      <c r="E238" s="11" t="n"/>
      <c r="F238" s="7">
        <f>IF(A238="","",IF(OR(A238&lt;TaxStart,A238&gt;TaxEnd),"Outside tax year",IF(A238&lt;DATE(YEAR(TaxStart),7,6),"Q1",IF(A238&lt;DATE(YEAR(TaxStart),10,6),"Q2",IF(A238&lt;DATE(YEAR(TaxStart)+1,1,6),"Q3","Q4")))))</f>
        <v/>
      </c>
    </row>
    <row r="239">
      <c r="A239" s="8" t="n"/>
      <c r="B239" s="13" t="n"/>
      <c r="C239" s="13" t="n"/>
      <c r="D239" s="13" t="n"/>
      <c r="E239" s="11" t="n"/>
      <c r="F239" s="7">
        <f>IF(A239="","",IF(OR(A239&lt;TaxStart,A239&gt;TaxEnd),"Outside tax year",IF(A239&lt;DATE(YEAR(TaxStart),7,6),"Q1",IF(A239&lt;DATE(YEAR(TaxStart),10,6),"Q2",IF(A239&lt;DATE(YEAR(TaxStart)+1,1,6),"Q3","Q4")))))</f>
        <v/>
      </c>
    </row>
    <row r="240">
      <c r="A240" s="8" t="n"/>
      <c r="B240" s="13" t="n"/>
      <c r="C240" s="13" t="n"/>
      <c r="D240" s="13" t="n"/>
      <c r="E240" s="11" t="n"/>
      <c r="F240" s="7">
        <f>IF(A240="","",IF(OR(A240&lt;TaxStart,A240&gt;TaxEnd),"Outside tax year",IF(A240&lt;DATE(YEAR(TaxStart),7,6),"Q1",IF(A240&lt;DATE(YEAR(TaxStart),10,6),"Q2",IF(A240&lt;DATE(YEAR(TaxStart)+1,1,6),"Q3","Q4")))))</f>
        <v/>
      </c>
    </row>
    <row r="241">
      <c r="A241" s="8" t="n"/>
      <c r="B241" s="13" t="n"/>
      <c r="C241" s="13" t="n"/>
      <c r="D241" s="13" t="n"/>
      <c r="E241" s="11" t="n"/>
      <c r="F241" s="7">
        <f>IF(A241="","",IF(OR(A241&lt;TaxStart,A241&gt;TaxEnd),"Outside tax year",IF(A241&lt;DATE(YEAR(TaxStart),7,6),"Q1",IF(A241&lt;DATE(YEAR(TaxStart),10,6),"Q2",IF(A241&lt;DATE(YEAR(TaxStart)+1,1,6),"Q3","Q4")))))</f>
        <v/>
      </c>
    </row>
    <row r="242">
      <c r="A242" s="8" t="n"/>
      <c r="B242" s="13" t="n"/>
      <c r="C242" s="13" t="n"/>
      <c r="D242" s="13" t="n"/>
      <c r="E242" s="11" t="n"/>
      <c r="F242" s="7">
        <f>IF(A242="","",IF(OR(A242&lt;TaxStart,A242&gt;TaxEnd),"Outside tax year",IF(A242&lt;DATE(YEAR(TaxStart),7,6),"Q1",IF(A242&lt;DATE(YEAR(TaxStart),10,6),"Q2",IF(A242&lt;DATE(YEAR(TaxStart)+1,1,6),"Q3","Q4")))))</f>
        <v/>
      </c>
    </row>
    <row r="243">
      <c r="A243" s="8" t="n"/>
      <c r="B243" s="13" t="n"/>
      <c r="C243" s="13" t="n"/>
      <c r="D243" s="13" t="n"/>
      <c r="E243" s="11" t="n"/>
      <c r="F243" s="7">
        <f>IF(A243="","",IF(OR(A243&lt;TaxStart,A243&gt;TaxEnd),"Outside tax year",IF(A243&lt;DATE(YEAR(TaxStart),7,6),"Q1",IF(A243&lt;DATE(YEAR(TaxStart),10,6),"Q2",IF(A243&lt;DATE(YEAR(TaxStart)+1,1,6),"Q3","Q4")))))</f>
        <v/>
      </c>
    </row>
    <row r="244">
      <c r="A244" s="8" t="n"/>
      <c r="B244" s="13" t="n"/>
      <c r="C244" s="13" t="n"/>
      <c r="D244" s="13" t="n"/>
      <c r="E244" s="11" t="n"/>
      <c r="F244" s="7">
        <f>IF(A244="","",IF(OR(A244&lt;TaxStart,A244&gt;TaxEnd),"Outside tax year",IF(A244&lt;DATE(YEAR(TaxStart),7,6),"Q1",IF(A244&lt;DATE(YEAR(TaxStart),10,6),"Q2",IF(A244&lt;DATE(YEAR(TaxStart)+1,1,6),"Q3","Q4")))))</f>
        <v/>
      </c>
    </row>
    <row r="245">
      <c r="A245" s="8" t="n"/>
      <c r="B245" s="13" t="n"/>
      <c r="C245" s="13" t="n"/>
      <c r="D245" s="13" t="n"/>
      <c r="E245" s="11" t="n"/>
      <c r="F245" s="7">
        <f>IF(A245="","",IF(OR(A245&lt;TaxStart,A245&gt;TaxEnd),"Outside tax year",IF(A245&lt;DATE(YEAR(TaxStart),7,6),"Q1",IF(A245&lt;DATE(YEAR(TaxStart),10,6),"Q2",IF(A245&lt;DATE(YEAR(TaxStart)+1,1,6),"Q3","Q4")))))</f>
        <v/>
      </c>
    </row>
    <row r="246">
      <c r="A246" s="8" t="n"/>
      <c r="B246" s="13" t="n"/>
      <c r="C246" s="13" t="n"/>
      <c r="D246" s="13" t="n"/>
      <c r="E246" s="11" t="n"/>
      <c r="F246" s="7">
        <f>IF(A246="","",IF(OR(A246&lt;TaxStart,A246&gt;TaxEnd),"Outside tax year",IF(A246&lt;DATE(YEAR(TaxStart),7,6),"Q1",IF(A246&lt;DATE(YEAR(TaxStart),10,6),"Q2",IF(A246&lt;DATE(YEAR(TaxStart)+1,1,6),"Q3","Q4")))))</f>
        <v/>
      </c>
    </row>
    <row r="247">
      <c r="A247" s="8" t="n"/>
      <c r="B247" s="13" t="n"/>
      <c r="C247" s="13" t="n"/>
      <c r="D247" s="13" t="n"/>
      <c r="E247" s="11" t="n"/>
      <c r="F247" s="7">
        <f>IF(A247="","",IF(OR(A247&lt;TaxStart,A247&gt;TaxEnd),"Outside tax year",IF(A247&lt;DATE(YEAR(TaxStart),7,6),"Q1",IF(A247&lt;DATE(YEAR(TaxStart),10,6),"Q2",IF(A247&lt;DATE(YEAR(TaxStart)+1,1,6),"Q3","Q4")))))</f>
        <v/>
      </c>
    </row>
    <row r="248">
      <c r="A248" s="8" t="n"/>
      <c r="B248" s="13" t="n"/>
      <c r="C248" s="13" t="n"/>
      <c r="D248" s="13" t="n"/>
      <c r="E248" s="11" t="n"/>
      <c r="F248" s="7">
        <f>IF(A248="","",IF(OR(A248&lt;TaxStart,A248&gt;TaxEnd),"Outside tax year",IF(A248&lt;DATE(YEAR(TaxStart),7,6),"Q1",IF(A248&lt;DATE(YEAR(TaxStart),10,6),"Q2",IF(A248&lt;DATE(YEAR(TaxStart)+1,1,6),"Q3","Q4")))))</f>
        <v/>
      </c>
    </row>
    <row r="249">
      <c r="A249" s="8" t="n"/>
      <c r="B249" s="13" t="n"/>
      <c r="C249" s="13" t="n"/>
      <c r="D249" s="13" t="n"/>
      <c r="E249" s="11" t="n"/>
      <c r="F249" s="7">
        <f>IF(A249="","",IF(OR(A249&lt;TaxStart,A249&gt;TaxEnd),"Outside tax year",IF(A249&lt;DATE(YEAR(TaxStart),7,6),"Q1",IF(A249&lt;DATE(YEAR(TaxStart),10,6),"Q2",IF(A249&lt;DATE(YEAR(TaxStart)+1,1,6),"Q3","Q4")))))</f>
        <v/>
      </c>
    </row>
    <row r="250">
      <c r="A250" s="8" t="n"/>
      <c r="B250" s="13" t="n"/>
      <c r="C250" s="13" t="n"/>
      <c r="D250" s="13" t="n"/>
      <c r="E250" s="11" t="n"/>
      <c r="F250" s="7">
        <f>IF(A250="","",IF(OR(A250&lt;TaxStart,A250&gt;TaxEnd),"Outside tax year",IF(A250&lt;DATE(YEAR(TaxStart),7,6),"Q1",IF(A250&lt;DATE(YEAR(TaxStart),10,6),"Q2",IF(A250&lt;DATE(YEAR(TaxStart)+1,1,6),"Q3","Q4")))))</f>
        <v/>
      </c>
    </row>
    <row r="251">
      <c r="A251" s="8" t="n"/>
      <c r="B251" s="13" t="n"/>
      <c r="C251" s="13" t="n"/>
      <c r="D251" s="13" t="n"/>
      <c r="E251" s="11" t="n"/>
      <c r="F251" s="7">
        <f>IF(A251="","",IF(OR(A251&lt;TaxStart,A251&gt;TaxEnd),"Outside tax year",IF(A251&lt;DATE(YEAR(TaxStart),7,6),"Q1",IF(A251&lt;DATE(YEAR(TaxStart),10,6),"Q2",IF(A251&lt;DATE(YEAR(TaxStart)+1,1,6),"Q3","Q4")))))</f>
        <v/>
      </c>
    </row>
    <row r="252">
      <c r="A252" s="8" t="n"/>
      <c r="B252" s="13" t="n"/>
      <c r="C252" s="13" t="n"/>
      <c r="D252" s="13" t="n"/>
      <c r="E252" s="11" t="n"/>
      <c r="F252" s="7">
        <f>IF(A252="","",IF(OR(A252&lt;TaxStart,A252&gt;TaxEnd),"Outside tax year",IF(A252&lt;DATE(YEAR(TaxStart),7,6),"Q1",IF(A252&lt;DATE(YEAR(TaxStart),10,6),"Q2",IF(A252&lt;DATE(YEAR(TaxStart)+1,1,6),"Q3","Q4")))))</f>
        <v/>
      </c>
    </row>
    <row r="253">
      <c r="A253" s="8" t="n"/>
      <c r="B253" s="13" t="n"/>
      <c r="C253" s="13" t="n"/>
      <c r="D253" s="13" t="n"/>
      <c r="E253" s="11" t="n"/>
      <c r="F253" s="7">
        <f>IF(A253="","",IF(OR(A253&lt;TaxStart,A253&gt;TaxEnd),"Outside tax year",IF(A253&lt;DATE(YEAR(TaxStart),7,6),"Q1",IF(A253&lt;DATE(YEAR(TaxStart),10,6),"Q2",IF(A253&lt;DATE(YEAR(TaxStart)+1,1,6),"Q3","Q4")))))</f>
        <v/>
      </c>
    </row>
    <row r="254">
      <c r="A254" s="8" t="n"/>
      <c r="B254" s="13" t="n"/>
      <c r="C254" s="13" t="n"/>
      <c r="D254" s="13" t="n"/>
      <c r="E254" s="11" t="n"/>
      <c r="F254" s="7">
        <f>IF(A254="","",IF(OR(A254&lt;TaxStart,A254&gt;TaxEnd),"Outside tax year",IF(A254&lt;DATE(YEAR(TaxStart),7,6),"Q1",IF(A254&lt;DATE(YEAR(TaxStart),10,6),"Q2",IF(A254&lt;DATE(YEAR(TaxStart)+1,1,6),"Q3","Q4")))))</f>
        <v/>
      </c>
    </row>
    <row r="255">
      <c r="A255" s="8" t="n"/>
      <c r="B255" s="13" t="n"/>
      <c r="C255" s="13" t="n"/>
      <c r="D255" s="13" t="n"/>
      <c r="E255" s="11" t="n"/>
      <c r="F255" s="7">
        <f>IF(A255="","",IF(OR(A255&lt;TaxStart,A255&gt;TaxEnd),"Outside tax year",IF(A255&lt;DATE(YEAR(TaxStart),7,6),"Q1",IF(A255&lt;DATE(YEAR(TaxStart),10,6),"Q2",IF(A255&lt;DATE(YEAR(TaxStart)+1,1,6),"Q3","Q4")))))</f>
        <v/>
      </c>
    </row>
    <row r="256">
      <c r="A256" s="8" t="n"/>
      <c r="B256" s="13" t="n"/>
      <c r="C256" s="13" t="n"/>
      <c r="D256" s="13" t="n"/>
      <c r="E256" s="11" t="n"/>
      <c r="F256" s="7">
        <f>IF(A256="","",IF(OR(A256&lt;TaxStart,A256&gt;TaxEnd),"Outside tax year",IF(A256&lt;DATE(YEAR(TaxStart),7,6),"Q1",IF(A256&lt;DATE(YEAR(TaxStart),10,6),"Q2",IF(A256&lt;DATE(YEAR(TaxStart)+1,1,6),"Q3","Q4")))))</f>
        <v/>
      </c>
    </row>
    <row r="257">
      <c r="A257" s="8" t="n"/>
      <c r="B257" s="13" t="n"/>
      <c r="C257" s="13" t="n"/>
      <c r="D257" s="13" t="n"/>
      <c r="E257" s="11" t="n"/>
      <c r="F257" s="7">
        <f>IF(A257="","",IF(OR(A257&lt;TaxStart,A257&gt;TaxEnd),"Outside tax year",IF(A257&lt;DATE(YEAR(TaxStart),7,6),"Q1",IF(A257&lt;DATE(YEAR(TaxStart),10,6),"Q2",IF(A257&lt;DATE(YEAR(TaxStart)+1,1,6),"Q3","Q4")))))</f>
        <v/>
      </c>
    </row>
    <row r="258">
      <c r="A258" s="8" t="n"/>
      <c r="B258" s="13" t="n"/>
      <c r="C258" s="13" t="n"/>
      <c r="D258" s="13" t="n"/>
      <c r="E258" s="11" t="n"/>
      <c r="F258" s="7">
        <f>IF(A258="","",IF(OR(A258&lt;TaxStart,A258&gt;TaxEnd),"Outside tax year",IF(A258&lt;DATE(YEAR(TaxStart),7,6),"Q1",IF(A258&lt;DATE(YEAR(TaxStart),10,6),"Q2",IF(A258&lt;DATE(YEAR(TaxStart)+1,1,6),"Q3","Q4")))))</f>
        <v/>
      </c>
    </row>
    <row r="259">
      <c r="A259" s="8" t="n"/>
      <c r="B259" s="13" t="n"/>
      <c r="C259" s="13" t="n"/>
      <c r="D259" s="13" t="n"/>
      <c r="E259" s="11" t="n"/>
      <c r="F259" s="7">
        <f>IF(A259="","",IF(OR(A259&lt;TaxStart,A259&gt;TaxEnd),"Outside tax year",IF(A259&lt;DATE(YEAR(TaxStart),7,6),"Q1",IF(A259&lt;DATE(YEAR(TaxStart),10,6),"Q2",IF(A259&lt;DATE(YEAR(TaxStart)+1,1,6),"Q3","Q4")))))</f>
        <v/>
      </c>
    </row>
    <row r="260">
      <c r="A260" s="8" t="n"/>
      <c r="B260" s="13" t="n"/>
      <c r="C260" s="13" t="n"/>
      <c r="D260" s="13" t="n"/>
      <c r="E260" s="11" t="n"/>
      <c r="F260" s="7">
        <f>IF(A260="","",IF(OR(A260&lt;TaxStart,A260&gt;TaxEnd),"Outside tax year",IF(A260&lt;DATE(YEAR(TaxStart),7,6),"Q1",IF(A260&lt;DATE(YEAR(TaxStart),10,6),"Q2",IF(A260&lt;DATE(YEAR(TaxStart)+1,1,6),"Q3","Q4")))))</f>
        <v/>
      </c>
    </row>
    <row r="261">
      <c r="A261" s="8" t="n"/>
      <c r="B261" s="13" t="n"/>
      <c r="C261" s="13" t="n"/>
      <c r="D261" s="13" t="n"/>
      <c r="E261" s="11" t="n"/>
      <c r="F261" s="7">
        <f>IF(A261="","",IF(OR(A261&lt;TaxStart,A261&gt;TaxEnd),"Outside tax year",IF(A261&lt;DATE(YEAR(TaxStart),7,6),"Q1",IF(A261&lt;DATE(YEAR(TaxStart),10,6),"Q2",IF(A261&lt;DATE(YEAR(TaxStart)+1,1,6),"Q3","Q4")))))</f>
        <v/>
      </c>
    </row>
    <row r="262">
      <c r="A262" s="8" t="n"/>
      <c r="B262" s="13" t="n"/>
      <c r="C262" s="13" t="n"/>
      <c r="D262" s="13" t="n"/>
      <c r="E262" s="11" t="n"/>
      <c r="F262" s="7">
        <f>IF(A262="","",IF(OR(A262&lt;TaxStart,A262&gt;TaxEnd),"Outside tax year",IF(A262&lt;DATE(YEAR(TaxStart),7,6),"Q1",IF(A262&lt;DATE(YEAR(TaxStart),10,6),"Q2",IF(A262&lt;DATE(YEAR(TaxStart)+1,1,6),"Q3","Q4")))))</f>
        <v/>
      </c>
    </row>
    <row r="263">
      <c r="A263" s="8" t="n"/>
      <c r="B263" s="13" t="n"/>
      <c r="C263" s="13" t="n"/>
      <c r="D263" s="13" t="n"/>
      <c r="E263" s="11" t="n"/>
      <c r="F263" s="7">
        <f>IF(A263="","",IF(OR(A263&lt;TaxStart,A263&gt;TaxEnd),"Outside tax year",IF(A263&lt;DATE(YEAR(TaxStart),7,6),"Q1",IF(A263&lt;DATE(YEAR(TaxStart),10,6),"Q2",IF(A263&lt;DATE(YEAR(TaxStart)+1,1,6),"Q3","Q4")))))</f>
        <v/>
      </c>
    </row>
    <row r="264">
      <c r="A264" s="8" t="n"/>
      <c r="B264" s="13" t="n"/>
      <c r="C264" s="13" t="n"/>
      <c r="D264" s="13" t="n"/>
      <c r="E264" s="11" t="n"/>
      <c r="F264" s="7">
        <f>IF(A264="","",IF(OR(A264&lt;TaxStart,A264&gt;TaxEnd),"Outside tax year",IF(A264&lt;DATE(YEAR(TaxStart),7,6),"Q1",IF(A264&lt;DATE(YEAR(TaxStart),10,6),"Q2",IF(A264&lt;DATE(YEAR(TaxStart)+1,1,6),"Q3","Q4")))))</f>
        <v/>
      </c>
    </row>
    <row r="265">
      <c r="A265" s="8" t="n"/>
      <c r="B265" s="13" t="n"/>
      <c r="C265" s="13" t="n"/>
      <c r="D265" s="13" t="n"/>
      <c r="E265" s="11" t="n"/>
      <c r="F265" s="7">
        <f>IF(A265="","",IF(OR(A265&lt;TaxStart,A265&gt;TaxEnd),"Outside tax year",IF(A265&lt;DATE(YEAR(TaxStart),7,6),"Q1",IF(A265&lt;DATE(YEAR(TaxStart),10,6),"Q2",IF(A265&lt;DATE(YEAR(TaxStart)+1,1,6),"Q3","Q4")))))</f>
        <v/>
      </c>
    </row>
    <row r="266">
      <c r="A266" s="8" t="n"/>
      <c r="B266" s="13" t="n"/>
      <c r="C266" s="13" t="n"/>
      <c r="D266" s="13" t="n"/>
      <c r="E266" s="11" t="n"/>
      <c r="F266" s="7">
        <f>IF(A266="","",IF(OR(A266&lt;TaxStart,A266&gt;TaxEnd),"Outside tax year",IF(A266&lt;DATE(YEAR(TaxStart),7,6),"Q1",IF(A266&lt;DATE(YEAR(TaxStart),10,6),"Q2",IF(A266&lt;DATE(YEAR(TaxStart)+1,1,6),"Q3","Q4")))))</f>
        <v/>
      </c>
    </row>
    <row r="267">
      <c r="A267" s="8" t="n"/>
      <c r="B267" s="13" t="n"/>
      <c r="C267" s="13" t="n"/>
      <c r="D267" s="13" t="n"/>
      <c r="E267" s="11" t="n"/>
      <c r="F267" s="7">
        <f>IF(A267="","",IF(OR(A267&lt;TaxStart,A267&gt;TaxEnd),"Outside tax year",IF(A267&lt;DATE(YEAR(TaxStart),7,6),"Q1",IF(A267&lt;DATE(YEAR(TaxStart),10,6),"Q2",IF(A267&lt;DATE(YEAR(TaxStart)+1,1,6),"Q3","Q4")))))</f>
        <v/>
      </c>
    </row>
    <row r="268">
      <c r="A268" s="8" t="n"/>
      <c r="B268" s="13" t="n"/>
      <c r="C268" s="13" t="n"/>
      <c r="D268" s="13" t="n"/>
      <c r="E268" s="11" t="n"/>
      <c r="F268" s="7">
        <f>IF(A268="","",IF(OR(A268&lt;TaxStart,A268&gt;TaxEnd),"Outside tax year",IF(A268&lt;DATE(YEAR(TaxStart),7,6),"Q1",IF(A268&lt;DATE(YEAR(TaxStart),10,6),"Q2",IF(A268&lt;DATE(YEAR(TaxStart)+1,1,6),"Q3","Q4")))))</f>
        <v/>
      </c>
    </row>
    <row r="269">
      <c r="A269" s="8" t="n"/>
      <c r="B269" s="13" t="n"/>
      <c r="C269" s="13" t="n"/>
      <c r="D269" s="13" t="n"/>
      <c r="E269" s="11" t="n"/>
      <c r="F269" s="7">
        <f>IF(A269="","",IF(OR(A269&lt;TaxStart,A269&gt;TaxEnd),"Outside tax year",IF(A269&lt;DATE(YEAR(TaxStart),7,6),"Q1",IF(A269&lt;DATE(YEAR(TaxStart),10,6),"Q2",IF(A269&lt;DATE(YEAR(TaxStart)+1,1,6),"Q3","Q4")))))</f>
        <v/>
      </c>
    </row>
    <row r="270">
      <c r="A270" s="8" t="n"/>
      <c r="B270" s="13" t="n"/>
      <c r="C270" s="13" t="n"/>
      <c r="D270" s="13" t="n"/>
      <c r="E270" s="11" t="n"/>
      <c r="F270" s="7">
        <f>IF(A270="","",IF(OR(A270&lt;TaxStart,A270&gt;TaxEnd),"Outside tax year",IF(A270&lt;DATE(YEAR(TaxStart),7,6),"Q1",IF(A270&lt;DATE(YEAR(TaxStart),10,6),"Q2",IF(A270&lt;DATE(YEAR(TaxStart)+1,1,6),"Q3","Q4")))))</f>
        <v/>
      </c>
    </row>
    <row r="271">
      <c r="A271" s="8" t="n"/>
      <c r="B271" s="13" t="n"/>
      <c r="C271" s="13" t="n"/>
      <c r="D271" s="13" t="n"/>
      <c r="E271" s="11" t="n"/>
      <c r="F271" s="7">
        <f>IF(A271="","",IF(OR(A271&lt;TaxStart,A271&gt;TaxEnd),"Outside tax year",IF(A271&lt;DATE(YEAR(TaxStart),7,6),"Q1",IF(A271&lt;DATE(YEAR(TaxStart),10,6),"Q2",IF(A271&lt;DATE(YEAR(TaxStart)+1,1,6),"Q3","Q4")))))</f>
        <v/>
      </c>
    </row>
    <row r="272">
      <c r="A272" s="8" t="n"/>
      <c r="B272" s="13" t="n"/>
      <c r="C272" s="13" t="n"/>
      <c r="D272" s="13" t="n"/>
      <c r="E272" s="11" t="n"/>
      <c r="F272" s="7">
        <f>IF(A272="","",IF(OR(A272&lt;TaxStart,A272&gt;TaxEnd),"Outside tax year",IF(A272&lt;DATE(YEAR(TaxStart),7,6),"Q1",IF(A272&lt;DATE(YEAR(TaxStart),10,6),"Q2",IF(A272&lt;DATE(YEAR(TaxStart)+1,1,6),"Q3","Q4")))))</f>
        <v/>
      </c>
    </row>
    <row r="273">
      <c r="A273" s="8" t="n"/>
      <c r="B273" s="13" t="n"/>
      <c r="C273" s="13" t="n"/>
      <c r="D273" s="13" t="n"/>
      <c r="E273" s="11" t="n"/>
      <c r="F273" s="7">
        <f>IF(A273="","",IF(OR(A273&lt;TaxStart,A273&gt;TaxEnd),"Outside tax year",IF(A273&lt;DATE(YEAR(TaxStart),7,6),"Q1",IF(A273&lt;DATE(YEAR(TaxStart),10,6),"Q2",IF(A273&lt;DATE(YEAR(TaxStart)+1,1,6),"Q3","Q4")))))</f>
        <v/>
      </c>
    </row>
    <row r="274">
      <c r="A274" s="8" t="n"/>
      <c r="B274" s="13" t="n"/>
      <c r="C274" s="13" t="n"/>
      <c r="D274" s="13" t="n"/>
      <c r="E274" s="11" t="n"/>
      <c r="F274" s="7">
        <f>IF(A274="","",IF(OR(A274&lt;TaxStart,A274&gt;TaxEnd),"Outside tax year",IF(A274&lt;DATE(YEAR(TaxStart),7,6),"Q1",IF(A274&lt;DATE(YEAR(TaxStart),10,6),"Q2",IF(A274&lt;DATE(YEAR(TaxStart)+1,1,6),"Q3","Q4")))))</f>
        <v/>
      </c>
    </row>
    <row r="275">
      <c r="A275" s="8" t="n"/>
      <c r="B275" s="13" t="n"/>
      <c r="C275" s="13" t="n"/>
      <c r="D275" s="13" t="n"/>
      <c r="E275" s="11" t="n"/>
      <c r="F275" s="7">
        <f>IF(A275="","",IF(OR(A275&lt;TaxStart,A275&gt;TaxEnd),"Outside tax year",IF(A275&lt;DATE(YEAR(TaxStart),7,6),"Q1",IF(A275&lt;DATE(YEAR(TaxStart),10,6),"Q2",IF(A275&lt;DATE(YEAR(TaxStart)+1,1,6),"Q3","Q4")))))</f>
        <v/>
      </c>
    </row>
    <row r="276">
      <c r="A276" s="8" t="n"/>
      <c r="B276" s="13" t="n"/>
      <c r="C276" s="13" t="n"/>
      <c r="D276" s="13" t="n"/>
      <c r="E276" s="11" t="n"/>
      <c r="F276" s="7">
        <f>IF(A276="","",IF(OR(A276&lt;TaxStart,A276&gt;TaxEnd),"Outside tax year",IF(A276&lt;DATE(YEAR(TaxStart),7,6),"Q1",IF(A276&lt;DATE(YEAR(TaxStart),10,6),"Q2",IF(A276&lt;DATE(YEAR(TaxStart)+1,1,6),"Q3","Q4")))))</f>
        <v/>
      </c>
    </row>
    <row r="277">
      <c r="A277" s="8" t="n"/>
      <c r="B277" s="13" t="n"/>
      <c r="C277" s="13" t="n"/>
      <c r="D277" s="13" t="n"/>
      <c r="E277" s="11" t="n"/>
      <c r="F277" s="7">
        <f>IF(A277="","",IF(OR(A277&lt;TaxStart,A277&gt;TaxEnd),"Outside tax year",IF(A277&lt;DATE(YEAR(TaxStart),7,6),"Q1",IF(A277&lt;DATE(YEAR(TaxStart),10,6),"Q2",IF(A277&lt;DATE(YEAR(TaxStart)+1,1,6),"Q3","Q4")))))</f>
        <v/>
      </c>
    </row>
    <row r="278">
      <c r="A278" s="8" t="n"/>
      <c r="B278" s="13" t="n"/>
      <c r="C278" s="13" t="n"/>
      <c r="D278" s="13" t="n"/>
      <c r="E278" s="11" t="n"/>
      <c r="F278" s="7">
        <f>IF(A278="","",IF(OR(A278&lt;TaxStart,A278&gt;TaxEnd),"Outside tax year",IF(A278&lt;DATE(YEAR(TaxStart),7,6),"Q1",IF(A278&lt;DATE(YEAR(TaxStart),10,6),"Q2",IF(A278&lt;DATE(YEAR(TaxStart)+1,1,6),"Q3","Q4")))))</f>
        <v/>
      </c>
    </row>
    <row r="279">
      <c r="A279" s="8" t="n"/>
      <c r="B279" s="13" t="n"/>
      <c r="C279" s="13" t="n"/>
      <c r="D279" s="13" t="n"/>
      <c r="E279" s="11" t="n"/>
      <c r="F279" s="7">
        <f>IF(A279="","",IF(OR(A279&lt;TaxStart,A279&gt;TaxEnd),"Outside tax year",IF(A279&lt;DATE(YEAR(TaxStart),7,6),"Q1",IF(A279&lt;DATE(YEAR(TaxStart),10,6),"Q2",IF(A279&lt;DATE(YEAR(TaxStart)+1,1,6),"Q3","Q4")))))</f>
        <v/>
      </c>
    </row>
    <row r="280">
      <c r="A280" s="8" t="n"/>
      <c r="B280" s="13" t="n"/>
      <c r="C280" s="13" t="n"/>
      <c r="D280" s="13" t="n"/>
      <c r="E280" s="11" t="n"/>
      <c r="F280" s="7">
        <f>IF(A280="","",IF(OR(A280&lt;TaxStart,A280&gt;TaxEnd),"Outside tax year",IF(A280&lt;DATE(YEAR(TaxStart),7,6),"Q1",IF(A280&lt;DATE(YEAR(TaxStart),10,6),"Q2",IF(A280&lt;DATE(YEAR(TaxStart)+1,1,6),"Q3","Q4")))))</f>
        <v/>
      </c>
    </row>
    <row r="281">
      <c r="A281" s="8" t="n"/>
      <c r="B281" s="13" t="n"/>
      <c r="C281" s="13" t="n"/>
      <c r="D281" s="13" t="n"/>
      <c r="E281" s="11" t="n"/>
      <c r="F281" s="7">
        <f>IF(A281="","",IF(OR(A281&lt;TaxStart,A281&gt;TaxEnd),"Outside tax year",IF(A281&lt;DATE(YEAR(TaxStart),7,6),"Q1",IF(A281&lt;DATE(YEAR(TaxStart),10,6),"Q2",IF(A281&lt;DATE(YEAR(TaxStart)+1,1,6),"Q3","Q4")))))</f>
        <v/>
      </c>
    </row>
    <row r="282">
      <c r="A282" s="8" t="n"/>
      <c r="B282" s="13" t="n"/>
      <c r="C282" s="13" t="n"/>
      <c r="D282" s="13" t="n"/>
      <c r="E282" s="11" t="n"/>
      <c r="F282" s="7">
        <f>IF(A282="","",IF(OR(A282&lt;TaxStart,A282&gt;TaxEnd),"Outside tax year",IF(A282&lt;DATE(YEAR(TaxStart),7,6),"Q1",IF(A282&lt;DATE(YEAR(TaxStart),10,6),"Q2",IF(A282&lt;DATE(YEAR(TaxStart)+1,1,6),"Q3","Q4")))))</f>
        <v/>
      </c>
    </row>
    <row r="283">
      <c r="A283" s="8" t="n"/>
      <c r="B283" s="13" t="n"/>
      <c r="C283" s="13" t="n"/>
      <c r="D283" s="13" t="n"/>
      <c r="E283" s="11" t="n"/>
      <c r="F283" s="7">
        <f>IF(A283="","",IF(OR(A283&lt;TaxStart,A283&gt;TaxEnd),"Outside tax year",IF(A283&lt;DATE(YEAR(TaxStart),7,6),"Q1",IF(A283&lt;DATE(YEAR(TaxStart),10,6),"Q2",IF(A283&lt;DATE(YEAR(TaxStart)+1,1,6),"Q3","Q4")))))</f>
        <v/>
      </c>
    </row>
    <row r="284">
      <c r="A284" s="8" t="n"/>
      <c r="B284" s="13" t="n"/>
      <c r="C284" s="13" t="n"/>
      <c r="D284" s="13" t="n"/>
      <c r="E284" s="11" t="n"/>
      <c r="F284" s="7">
        <f>IF(A284="","",IF(OR(A284&lt;TaxStart,A284&gt;TaxEnd),"Outside tax year",IF(A284&lt;DATE(YEAR(TaxStart),7,6),"Q1",IF(A284&lt;DATE(YEAR(TaxStart),10,6),"Q2",IF(A284&lt;DATE(YEAR(TaxStart)+1,1,6),"Q3","Q4")))))</f>
        <v/>
      </c>
    </row>
    <row r="285">
      <c r="A285" s="8" t="n"/>
      <c r="B285" s="13" t="n"/>
      <c r="C285" s="13" t="n"/>
      <c r="D285" s="13" t="n"/>
      <c r="E285" s="11" t="n"/>
      <c r="F285" s="7">
        <f>IF(A285="","",IF(OR(A285&lt;TaxStart,A285&gt;TaxEnd),"Outside tax year",IF(A285&lt;DATE(YEAR(TaxStart),7,6),"Q1",IF(A285&lt;DATE(YEAR(TaxStart),10,6),"Q2",IF(A285&lt;DATE(YEAR(TaxStart)+1,1,6),"Q3","Q4")))))</f>
        <v/>
      </c>
    </row>
    <row r="286">
      <c r="A286" s="8" t="n"/>
      <c r="B286" s="13" t="n"/>
      <c r="C286" s="13" t="n"/>
      <c r="D286" s="13" t="n"/>
      <c r="E286" s="11" t="n"/>
      <c r="F286" s="7">
        <f>IF(A286="","",IF(OR(A286&lt;TaxStart,A286&gt;TaxEnd),"Outside tax year",IF(A286&lt;DATE(YEAR(TaxStart),7,6),"Q1",IF(A286&lt;DATE(YEAR(TaxStart),10,6),"Q2",IF(A286&lt;DATE(YEAR(TaxStart)+1,1,6),"Q3","Q4")))))</f>
        <v/>
      </c>
    </row>
    <row r="287">
      <c r="A287" s="8" t="n"/>
      <c r="B287" s="13" t="n"/>
      <c r="C287" s="13" t="n"/>
      <c r="D287" s="13" t="n"/>
      <c r="E287" s="11" t="n"/>
      <c r="F287" s="7">
        <f>IF(A287="","",IF(OR(A287&lt;TaxStart,A287&gt;TaxEnd),"Outside tax year",IF(A287&lt;DATE(YEAR(TaxStart),7,6),"Q1",IF(A287&lt;DATE(YEAR(TaxStart),10,6),"Q2",IF(A287&lt;DATE(YEAR(TaxStart)+1,1,6),"Q3","Q4")))))</f>
        <v/>
      </c>
    </row>
    <row r="288">
      <c r="A288" s="8" t="n"/>
      <c r="B288" s="13" t="n"/>
      <c r="C288" s="13" t="n"/>
      <c r="D288" s="13" t="n"/>
      <c r="E288" s="11" t="n"/>
      <c r="F288" s="7">
        <f>IF(A288="","",IF(OR(A288&lt;TaxStart,A288&gt;TaxEnd),"Outside tax year",IF(A288&lt;DATE(YEAR(TaxStart),7,6),"Q1",IF(A288&lt;DATE(YEAR(TaxStart),10,6),"Q2",IF(A288&lt;DATE(YEAR(TaxStart)+1,1,6),"Q3","Q4")))))</f>
        <v/>
      </c>
    </row>
    <row r="289">
      <c r="A289" s="8" t="n"/>
      <c r="B289" s="13" t="n"/>
      <c r="C289" s="13" t="n"/>
      <c r="D289" s="13" t="n"/>
      <c r="E289" s="11" t="n"/>
      <c r="F289" s="7">
        <f>IF(A289="","",IF(OR(A289&lt;TaxStart,A289&gt;TaxEnd),"Outside tax year",IF(A289&lt;DATE(YEAR(TaxStart),7,6),"Q1",IF(A289&lt;DATE(YEAR(TaxStart),10,6),"Q2",IF(A289&lt;DATE(YEAR(TaxStart)+1,1,6),"Q3","Q4")))))</f>
        <v/>
      </c>
    </row>
    <row r="290">
      <c r="A290" s="8" t="n"/>
      <c r="B290" s="13" t="n"/>
      <c r="C290" s="13" t="n"/>
      <c r="D290" s="13" t="n"/>
      <c r="E290" s="11" t="n"/>
      <c r="F290" s="7">
        <f>IF(A290="","",IF(OR(A290&lt;TaxStart,A290&gt;TaxEnd),"Outside tax year",IF(A290&lt;DATE(YEAR(TaxStart),7,6),"Q1",IF(A290&lt;DATE(YEAR(TaxStart),10,6),"Q2",IF(A290&lt;DATE(YEAR(TaxStart)+1,1,6),"Q3","Q4")))))</f>
        <v/>
      </c>
    </row>
    <row r="291">
      <c r="A291" s="8" t="n"/>
      <c r="B291" s="13" t="n"/>
      <c r="C291" s="13" t="n"/>
      <c r="D291" s="13" t="n"/>
      <c r="E291" s="11" t="n"/>
      <c r="F291" s="7">
        <f>IF(A291="","",IF(OR(A291&lt;TaxStart,A291&gt;TaxEnd),"Outside tax year",IF(A291&lt;DATE(YEAR(TaxStart),7,6),"Q1",IF(A291&lt;DATE(YEAR(TaxStart),10,6),"Q2",IF(A291&lt;DATE(YEAR(TaxStart)+1,1,6),"Q3","Q4")))))</f>
        <v/>
      </c>
    </row>
    <row r="292">
      <c r="A292" s="8" t="n"/>
      <c r="B292" s="13" t="n"/>
      <c r="C292" s="13" t="n"/>
      <c r="D292" s="13" t="n"/>
      <c r="E292" s="11" t="n"/>
      <c r="F292" s="7">
        <f>IF(A292="","",IF(OR(A292&lt;TaxStart,A292&gt;TaxEnd),"Outside tax year",IF(A292&lt;DATE(YEAR(TaxStart),7,6),"Q1",IF(A292&lt;DATE(YEAR(TaxStart),10,6),"Q2",IF(A292&lt;DATE(YEAR(TaxStart)+1,1,6),"Q3","Q4")))))</f>
        <v/>
      </c>
    </row>
    <row r="293">
      <c r="A293" s="8" t="n"/>
      <c r="B293" s="13" t="n"/>
      <c r="C293" s="13" t="n"/>
      <c r="D293" s="13" t="n"/>
      <c r="E293" s="11" t="n"/>
      <c r="F293" s="7">
        <f>IF(A293="","",IF(OR(A293&lt;TaxStart,A293&gt;TaxEnd),"Outside tax year",IF(A293&lt;DATE(YEAR(TaxStart),7,6),"Q1",IF(A293&lt;DATE(YEAR(TaxStart),10,6),"Q2",IF(A293&lt;DATE(YEAR(TaxStart)+1,1,6),"Q3","Q4")))))</f>
        <v/>
      </c>
    </row>
    <row r="294">
      <c r="A294" s="8" t="n"/>
      <c r="B294" s="13" t="n"/>
      <c r="C294" s="13" t="n"/>
      <c r="D294" s="13" t="n"/>
      <c r="E294" s="11" t="n"/>
      <c r="F294" s="7">
        <f>IF(A294="","",IF(OR(A294&lt;TaxStart,A294&gt;TaxEnd),"Outside tax year",IF(A294&lt;DATE(YEAR(TaxStart),7,6),"Q1",IF(A294&lt;DATE(YEAR(TaxStart),10,6),"Q2",IF(A294&lt;DATE(YEAR(TaxStart)+1,1,6),"Q3","Q4")))))</f>
        <v/>
      </c>
    </row>
    <row r="295">
      <c r="A295" s="8" t="n"/>
      <c r="B295" s="13" t="n"/>
      <c r="C295" s="13" t="n"/>
      <c r="D295" s="13" t="n"/>
      <c r="E295" s="11" t="n"/>
      <c r="F295" s="7">
        <f>IF(A295="","",IF(OR(A295&lt;TaxStart,A295&gt;TaxEnd),"Outside tax year",IF(A295&lt;DATE(YEAR(TaxStart),7,6),"Q1",IF(A295&lt;DATE(YEAR(TaxStart),10,6),"Q2",IF(A295&lt;DATE(YEAR(TaxStart)+1,1,6),"Q3","Q4")))))</f>
        <v/>
      </c>
    </row>
    <row r="296">
      <c r="A296" s="8" t="n"/>
      <c r="B296" s="13" t="n"/>
      <c r="C296" s="13" t="n"/>
      <c r="D296" s="13" t="n"/>
      <c r="E296" s="11" t="n"/>
      <c r="F296" s="7">
        <f>IF(A296="","",IF(OR(A296&lt;TaxStart,A296&gt;TaxEnd),"Outside tax year",IF(A296&lt;DATE(YEAR(TaxStart),7,6),"Q1",IF(A296&lt;DATE(YEAR(TaxStart),10,6),"Q2",IF(A296&lt;DATE(YEAR(TaxStart)+1,1,6),"Q3","Q4")))))</f>
        <v/>
      </c>
    </row>
    <row r="297">
      <c r="A297" s="8" t="n"/>
      <c r="B297" s="13" t="n"/>
      <c r="C297" s="13" t="n"/>
      <c r="D297" s="13" t="n"/>
      <c r="E297" s="11" t="n"/>
      <c r="F297" s="7">
        <f>IF(A297="","",IF(OR(A297&lt;TaxStart,A297&gt;TaxEnd),"Outside tax year",IF(A297&lt;DATE(YEAR(TaxStart),7,6),"Q1",IF(A297&lt;DATE(YEAR(TaxStart),10,6),"Q2",IF(A297&lt;DATE(YEAR(TaxStart)+1,1,6),"Q3","Q4")))))</f>
        <v/>
      </c>
    </row>
    <row r="298">
      <c r="A298" s="8" t="n"/>
      <c r="B298" s="13" t="n"/>
      <c r="C298" s="13" t="n"/>
      <c r="D298" s="13" t="n"/>
      <c r="E298" s="11" t="n"/>
      <c r="F298" s="7">
        <f>IF(A298="","",IF(OR(A298&lt;TaxStart,A298&gt;TaxEnd),"Outside tax year",IF(A298&lt;DATE(YEAR(TaxStart),7,6),"Q1",IF(A298&lt;DATE(YEAR(TaxStart),10,6),"Q2",IF(A298&lt;DATE(YEAR(TaxStart)+1,1,6),"Q3","Q4")))))</f>
        <v/>
      </c>
    </row>
    <row r="299">
      <c r="A299" s="8" t="n"/>
      <c r="B299" s="13" t="n"/>
      <c r="C299" s="13" t="n"/>
      <c r="D299" s="13" t="n"/>
      <c r="E299" s="11" t="n"/>
      <c r="F299" s="7">
        <f>IF(A299="","",IF(OR(A299&lt;TaxStart,A299&gt;TaxEnd),"Outside tax year",IF(A299&lt;DATE(YEAR(TaxStart),7,6),"Q1",IF(A299&lt;DATE(YEAR(TaxStart),10,6),"Q2",IF(A299&lt;DATE(YEAR(TaxStart)+1,1,6),"Q3","Q4")))))</f>
        <v/>
      </c>
    </row>
    <row r="300">
      <c r="A300" s="8" t="n"/>
      <c r="B300" s="13" t="n"/>
      <c r="C300" s="13" t="n"/>
      <c r="D300" s="13" t="n"/>
      <c r="E300" s="11" t="n"/>
      <c r="F300" s="7">
        <f>IF(A300="","",IF(OR(A300&lt;TaxStart,A300&gt;TaxEnd),"Outside tax year",IF(A300&lt;DATE(YEAR(TaxStart),7,6),"Q1",IF(A300&lt;DATE(YEAR(TaxStart),10,6),"Q2",IF(A300&lt;DATE(YEAR(TaxStart)+1,1,6),"Q3","Q4")))))</f>
        <v/>
      </c>
    </row>
    <row r="301">
      <c r="A301" s="8" t="n"/>
      <c r="B301" s="13" t="n"/>
      <c r="C301" s="13" t="n"/>
      <c r="D301" s="13" t="n"/>
      <c r="E301" s="11" t="n"/>
      <c r="F301" s="7">
        <f>IF(A301="","",IF(OR(A301&lt;TaxStart,A301&gt;TaxEnd),"Outside tax year",IF(A301&lt;DATE(YEAR(TaxStart),7,6),"Q1",IF(A301&lt;DATE(YEAR(TaxStart),10,6),"Q2",IF(A301&lt;DATE(YEAR(TaxStart)+1,1,6),"Q3","Q4")))))</f>
        <v/>
      </c>
    </row>
    <row r="302">
      <c r="A302" s="8" t="n"/>
      <c r="B302" s="13" t="n"/>
      <c r="C302" s="13" t="n"/>
      <c r="D302" s="13" t="n"/>
      <c r="E302" s="11" t="n"/>
      <c r="F302" s="7">
        <f>IF(A302="","",IF(OR(A302&lt;TaxStart,A302&gt;TaxEnd),"Outside tax year",IF(A302&lt;DATE(YEAR(TaxStart),7,6),"Q1",IF(A302&lt;DATE(YEAR(TaxStart),10,6),"Q2",IF(A302&lt;DATE(YEAR(TaxStart)+1,1,6),"Q3","Q4")))))</f>
        <v/>
      </c>
    </row>
    <row r="303">
      <c r="A303" s="8" t="n"/>
      <c r="B303" s="13" t="n"/>
      <c r="C303" s="13" t="n"/>
      <c r="D303" s="13" t="n"/>
      <c r="E303" s="11" t="n"/>
      <c r="F303" s="7">
        <f>IF(A303="","",IF(OR(A303&lt;TaxStart,A303&gt;TaxEnd),"Outside tax year",IF(A303&lt;DATE(YEAR(TaxStart),7,6),"Q1",IF(A303&lt;DATE(YEAR(TaxStart),10,6),"Q2",IF(A303&lt;DATE(YEAR(TaxStart)+1,1,6),"Q3","Q4")))))</f>
        <v/>
      </c>
    </row>
    <row r="304">
      <c r="A304" s="8" t="n"/>
      <c r="B304" s="13" t="n"/>
      <c r="C304" s="13" t="n"/>
      <c r="D304" s="13" t="n"/>
      <c r="E304" s="11" t="n"/>
      <c r="F304" s="7">
        <f>IF(A304="","",IF(OR(A304&lt;TaxStart,A304&gt;TaxEnd),"Outside tax year",IF(A304&lt;DATE(YEAR(TaxStart),7,6),"Q1",IF(A304&lt;DATE(YEAR(TaxStart),10,6),"Q2",IF(A304&lt;DATE(YEAR(TaxStart)+1,1,6),"Q3","Q4")))))</f>
        <v/>
      </c>
    </row>
    <row r="305">
      <c r="A305" s="8" t="n"/>
      <c r="B305" s="13" t="n"/>
      <c r="C305" s="13" t="n"/>
      <c r="D305" s="13" t="n"/>
      <c r="E305" s="11" t="n"/>
      <c r="F305" s="7">
        <f>IF(A305="","",IF(OR(A305&lt;TaxStart,A305&gt;TaxEnd),"Outside tax year",IF(A305&lt;DATE(YEAR(TaxStart),7,6),"Q1",IF(A305&lt;DATE(YEAR(TaxStart),10,6),"Q2",IF(A305&lt;DATE(YEAR(TaxStart)+1,1,6),"Q3","Q4")))))</f>
        <v/>
      </c>
    </row>
    <row r="306">
      <c r="A306" s="8" t="n"/>
      <c r="B306" s="13" t="n"/>
      <c r="C306" s="13" t="n"/>
      <c r="D306" s="13" t="n"/>
      <c r="E306" s="11" t="n"/>
      <c r="F306" s="7">
        <f>IF(A306="","",IF(OR(A306&lt;TaxStart,A306&gt;TaxEnd),"Outside tax year",IF(A306&lt;DATE(YEAR(TaxStart),7,6),"Q1",IF(A306&lt;DATE(YEAR(TaxStart),10,6),"Q2",IF(A306&lt;DATE(YEAR(TaxStart)+1,1,6),"Q3","Q4")))))</f>
        <v/>
      </c>
    </row>
    <row r="307">
      <c r="A307" s="8" t="n"/>
      <c r="B307" s="13" t="n"/>
      <c r="C307" s="13" t="n"/>
      <c r="D307" s="13" t="n"/>
      <c r="E307" s="11" t="n"/>
      <c r="F307" s="7">
        <f>IF(A307="","",IF(OR(A307&lt;TaxStart,A307&gt;TaxEnd),"Outside tax year",IF(A307&lt;DATE(YEAR(TaxStart),7,6),"Q1",IF(A307&lt;DATE(YEAR(TaxStart),10,6),"Q2",IF(A307&lt;DATE(YEAR(TaxStart)+1,1,6),"Q3","Q4")))))</f>
        <v/>
      </c>
    </row>
    <row r="308">
      <c r="A308" s="8" t="n"/>
      <c r="B308" s="13" t="n"/>
      <c r="C308" s="13" t="n"/>
      <c r="D308" s="13" t="n"/>
      <c r="E308" s="11" t="n"/>
      <c r="F308" s="7">
        <f>IF(A308="","",IF(OR(A308&lt;TaxStart,A308&gt;TaxEnd),"Outside tax year",IF(A308&lt;DATE(YEAR(TaxStart),7,6),"Q1",IF(A308&lt;DATE(YEAR(TaxStart),10,6),"Q2",IF(A308&lt;DATE(YEAR(TaxStart)+1,1,6),"Q3","Q4")))))</f>
        <v/>
      </c>
    </row>
    <row r="309">
      <c r="A309" s="8" t="n"/>
      <c r="B309" s="13" t="n"/>
      <c r="C309" s="13" t="n"/>
      <c r="D309" s="13" t="n"/>
      <c r="E309" s="11" t="n"/>
      <c r="F309" s="7">
        <f>IF(A309="","",IF(OR(A309&lt;TaxStart,A309&gt;TaxEnd),"Outside tax year",IF(A309&lt;DATE(YEAR(TaxStart),7,6),"Q1",IF(A309&lt;DATE(YEAR(TaxStart),10,6),"Q2",IF(A309&lt;DATE(YEAR(TaxStart)+1,1,6),"Q3","Q4")))))</f>
        <v/>
      </c>
    </row>
    <row r="310">
      <c r="A310" s="8" t="n"/>
      <c r="B310" s="13" t="n"/>
      <c r="C310" s="13" t="n"/>
      <c r="D310" s="13" t="n"/>
      <c r="E310" s="11" t="n"/>
      <c r="F310" s="7">
        <f>IF(A310="","",IF(OR(A310&lt;TaxStart,A310&gt;TaxEnd),"Outside tax year",IF(A310&lt;DATE(YEAR(TaxStart),7,6),"Q1",IF(A310&lt;DATE(YEAR(TaxStart),10,6),"Q2",IF(A310&lt;DATE(YEAR(TaxStart)+1,1,6),"Q3","Q4")))))</f>
        <v/>
      </c>
    </row>
    <row r="311">
      <c r="A311" s="8" t="n"/>
      <c r="B311" s="13" t="n"/>
      <c r="C311" s="13" t="n"/>
      <c r="D311" s="13" t="n"/>
      <c r="E311" s="11" t="n"/>
      <c r="F311" s="7">
        <f>IF(A311="","",IF(OR(A311&lt;TaxStart,A311&gt;TaxEnd),"Outside tax year",IF(A311&lt;DATE(YEAR(TaxStart),7,6),"Q1",IF(A311&lt;DATE(YEAR(TaxStart),10,6),"Q2",IF(A311&lt;DATE(YEAR(TaxStart)+1,1,6),"Q3","Q4")))))</f>
        <v/>
      </c>
    </row>
    <row r="312">
      <c r="A312" s="8" t="n"/>
      <c r="B312" s="13" t="n"/>
      <c r="C312" s="13" t="n"/>
      <c r="D312" s="13" t="n"/>
      <c r="E312" s="11" t="n"/>
      <c r="F312" s="7">
        <f>IF(A312="","",IF(OR(A312&lt;TaxStart,A312&gt;TaxEnd),"Outside tax year",IF(A312&lt;DATE(YEAR(TaxStart),7,6),"Q1",IF(A312&lt;DATE(YEAR(TaxStart),10,6),"Q2",IF(A312&lt;DATE(YEAR(TaxStart)+1,1,6),"Q3","Q4")))))</f>
        <v/>
      </c>
    </row>
    <row r="313">
      <c r="A313" s="8" t="n"/>
      <c r="B313" s="13" t="n"/>
      <c r="C313" s="13" t="n"/>
      <c r="D313" s="13" t="n"/>
      <c r="E313" s="11" t="n"/>
      <c r="F313" s="7">
        <f>IF(A313="","",IF(OR(A313&lt;TaxStart,A313&gt;TaxEnd),"Outside tax year",IF(A313&lt;DATE(YEAR(TaxStart),7,6),"Q1",IF(A313&lt;DATE(YEAR(TaxStart),10,6),"Q2",IF(A313&lt;DATE(YEAR(TaxStart)+1,1,6),"Q3","Q4")))))</f>
        <v/>
      </c>
    </row>
    <row r="314">
      <c r="A314" s="8" t="n"/>
      <c r="B314" s="13" t="n"/>
      <c r="C314" s="13" t="n"/>
      <c r="D314" s="13" t="n"/>
      <c r="E314" s="11" t="n"/>
      <c r="F314" s="7">
        <f>IF(A314="","",IF(OR(A314&lt;TaxStart,A314&gt;TaxEnd),"Outside tax year",IF(A314&lt;DATE(YEAR(TaxStart),7,6),"Q1",IF(A314&lt;DATE(YEAR(TaxStart),10,6),"Q2",IF(A314&lt;DATE(YEAR(TaxStart)+1,1,6),"Q3","Q4")))))</f>
        <v/>
      </c>
    </row>
    <row r="315">
      <c r="A315" s="8" t="n"/>
      <c r="B315" s="13" t="n"/>
      <c r="C315" s="13" t="n"/>
      <c r="D315" s="13" t="n"/>
      <c r="E315" s="11" t="n"/>
      <c r="F315" s="7">
        <f>IF(A315="","",IF(OR(A315&lt;TaxStart,A315&gt;TaxEnd),"Outside tax year",IF(A315&lt;DATE(YEAR(TaxStart),7,6),"Q1",IF(A315&lt;DATE(YEAR(TaxStart),10,6),"Q2",IF(A315&lt;DATE(YEAR(TaxStart)+1,1,6),"Q3","Q4")))))</f>
        <v/>
      </c>
    </row>
    <row r="316">
      <c r="A316" s="8" t="n"/>
      <c r="B316" s="13" t="n"/>
      <c r="C316" s="13" t="n"/>
      <c r="D316" s="13" t="n"/>
      <c r="E316" s="11" t="n"/>
      <c r="F316" s="7">
        <f>IF(A316="","",IF(OR(A316&lt;TaxStart,A316&gt;TaxEnd),"Outside tax year",IF(A316&lt;DATE(YEAR(TaxStart),7,6),"Q1",IF(A316&lt;DATE(YEAR(TaxStart),10,6),"Q2",IF(A316&lt;DATE(YEAR(TaxStart)+1,1,6),"Q3","Q4")))))</f>
        <v/>
      </c>
    </row>
    <row r="317">
      <c r="A317" s="8" t="n"/>
      <c r="B317" s="13" t="n"/>
      <c r="C317" s="13" t="n"/>
      <c r="D317" s="13" t="n"/>
      <c r="E317" s="11" t="n"/>
      <c r="F317" s="7">
        <f>IF(A317="","",IF(OR(A317&lt;TaxStart,A317&gt;TaxEnd),"Outside tax year",IF(A317&lt;DATE(YEAR(TaxStart),7,6),"Q1",IF(A317&lt;DATE(YEAR(TaxStart),10,6),"Q2",IF(A317&lt;DATE(YEAR(TaxStart)+1,1,6),"Q3","Q4")))))</f>
        <v/>
      </c>
    </row>
    <row r="318">
      <c r="A318" s="8" t="n"/>
      <c r="B318" s="13" t="n"/>
      <c r="C318" s="13" t="n"/>
      <c r="D318" s="13" t="n"/>
      <c r="E318" s="11" t="n"/>
      <c r="F318" s="7">
        <f>IF(A318="","",IF(OR(A318&lt;TaxStart,A318&gt;TaxEnd),"Outside tax year",IF(A318&lt;DATE(YEAR(TaxStart),7,6),"Q1",IF(A318&lt;DATE(YEAR(TaxStart),10,6),"Q2",IF(A318&lt;DATE(YEAR(TaxStart)+1,1,6),"Q3","Q4")))))</f>
        <v/>
      </c>
    </row>
    <row r="319">
      <c r="A319" s="8" t="n"/>
      <c r="B319" s="13" t="n"/>
      <c r="C319" s="13" t="n"/>
      <c r="D319" s="13" t="n"/>
      <c r="E319" s="11" t="n"/>
      <c r="F319" s="7">
        <f>IF(A319="","",IF(OR(A319&lt;TaxStart,A319&gt;TaxEnd),"Outside tax year",IF(A319&lt;DATE(YEAR(TaxStart),7,6),"Q1",IF(A319&lt;DATE(YEAR(TaxStart),10,6),"Q2",IF(A319&lt;DATE(YEAR(TaxStart)+1,1,6),"Q3","Q4")))))</f>
        <v/>
      </c>
    </row>
    <row r="320">
      <c r="A320" s="8" t="n"/>
      <c r="B320" s="13" t="n"/>
      <c r="C320" s="13" t="n"/>
      <c r="D320" s="13" t="n"/>
      <c r="E320" s="11" t="n"/>
      <c r="F320" s="7">
        <f>IF(A320="","",IF(OR(A320&lt;TaxStart,A320&gt;TaxEnd),"Outside tax year",IF(A320&lt;DATE(YEAR(TaxStart),7,6),"Q1",IF(A320&lt;DATE(YEAR(TaxStart),10,6),"Q2",IF(A320&lt;DATE(YEAR(TaxStart)+1,1,6),"Q3","Q4")))))</f>
        <v/>
      </c>
    </row>
    <row r="321">
      <c r="A321" s="8" t="n"/>
      <c r="B321" s="13" t="n"/>
      <c r="C321" s="13" t="n"/>
      <c r="D321" s="13" t="n"/>
      <c r="E321" s="11" t="n"/>
      <c r="F321" s="7">
        <f>IF(A321="","",IF(OR(A321&lt;TaxStart,A321&gt;TaxEnd),"Outside tax year",IF(A321&lt;DATE(YEAR(TaxStart),7,6),"Q1",IF(A321&lt;DATE(YEAR(TaxStart),10,6),"Q2",IF(A321&lt;DATE(YEAR(TaxStart)+1,1,6),"Q3","Q4")))))</f>
        <v/>
      </c>
    </row>
    <row r="322">
      <c r="A322" s="8" t="n"/>
      <c r="B322" s="13" t="n"/>
      <c r="C322" s="13" t="n"/>
      <c r="D322" s="13" t="n"/>
      <c r="E322" s="11" t="n"/>
      <c r="F322" s="7">
        <f>IF(A322="","",IF(OR(A322&lt;TaxStart,A322&gt;TaxEnd),"Outside tax year",IF(A322&lt;DATE(YEAR(TaxStart),7,6),"Q1",IF(A322&lt;DATE(YEAR(TaxStart),10,6),"Q2",IF(A322&lt;DATE(YEAR(TaxStart)+1,1,6),"Q3","Q4")))))</f>
        <v/>
      </c>
    </row>
    <row r="323">
      <c r="A323" s="8" t="n"/>
      <c r="B323" s="13" t="n"/>
      <c r="C323" s="13" t="n"/>
      <c r="D323" s="13" t="n"/>
      <c r="E323" s="11" t="n"/>
      <c r="F323" s="7">
        <f>IF(A323="","",IF(OR(A323&lt;TaxStart,A323&gt;TaxEnd),"Outside tax year",IF(A323&lt;DATE(YEAR(TaxStart),7,6),"Q1",IF(A323&lt;DATE(YEAR(TaxStart),10,6),"Q2",IF(A323&lt;DATE(YEAR(TaxStart)+1,1,6),"Q3","Q4")))))</f>
        <v/>
      </c>
    </row>
    <row r="324">
      <c r="A324" s="8" t="n"/>
      <c r="B324" s="13" t="n"/>
      <c r="C324" s="13" t="n"/>
      <c r="D324" s="13" t="n"/>
      <c r="E324" s="11" t="n"/>
      <c r="F324" s="7">
        <f>IF(A324="","",IF(OR(A324&lt;TaxStart,A324&gt;TaxEnd),"Outside tax year",IF(A324&lt;DATE(YEAR(TaxStart),7,6),"Q1",IF(A324&lt;DATE(YEAR(TaxStart),10,6),"Q2",IF(A324&lt;DATE(YEAR(TaxStart)+1,1,6),"Q3","Q4")))))</f>
        <v/>
      </c>
    </row>
    <row r="325">
      <c r="A325" s="8" t="n"/>
      <c r="B325" s="13" t="n"/>
      <c r="C325" s="13" t="n"/>
      <c r="D325" s="13" t="n"/>
      <c r="E325" s="11" t="n"/>
      <c r="F325" s="7">
        <f>IF(A325="","",IF(OR(A325&lt;TaxStart,A325&gt;TaxEnd),"Outside tax year",IF(A325&lt;DATE(YEAR(TaxStart),7,6),"Q1",IF(A325&lt;DATE(YEAR(TaxStart),10,6),"Q2",IF(A325&lt;DATE(YEAR(TaxStart)+1,1,6),"Q3","Q4")))))</f>
        <v/>
      </c>
    </row>
    <row r="326">
      <c r="A326" s="8" t="n"/>
      <c r="B326" s="13" t="n"/>
      <c r="C326" s="13" t="n"/>
      <c r="D326" s="13" t="n"/>
      <c r="E326" s="11" t="n"/>
      <c r="F326" s="7">
        <f>IF(A326="","",IF(OR(A326&lt;TaxStart,A326&gt;TaxEnd),"Outside tax year",IF(A326&lt;DATE(YEAR(TaxStart),7,6),"Q1",IF(A326&lt;DATE(YEAR(TaxStart),10,6),"Q2",IF(A326&lt;DATE(YEAR(TaxStart)+1,1,6),"Q3","Q4")))))</f>
        <v/>
      </c>
    </row>
    <row r="327">
      <c r="A327" s="8" t="n"/>
      <c r="B327" s="13" t="n"/>
      <c r="C327" s="13" t="n"/>
      <c r="D327" s="13" t="n"/>
      <c r="E327" s="11" t="n"/>
      <c r="F327" s="7">
        <f>IF(A327="","",IF(OR(A327&lt;TaxStart,A327&gt;TaxEnd),"Outside tax year",IF(A327&lt;DATE(YEAR(TaxStart),7,6),"Q1",IF(A327&lt;DATE(YEAR(TaxStart),10,6),"Q2",IF(A327&lt;DATE(YEAR(TaxStart)+1,1,6),"Q3","Q4")))))</f>
        <v/>
      </c>
    </row>
    <row r="328">
      <c r="A328" s="8" t="n"/>
      <c r="B328" s="13" t="n"/>
      <c r="C328" s="13" t="n"/>
      <c r="D328" s="13" t="n"/>
      <c r="E328" s="11" t="n"/>
      <c r="F328" s="7">
        <f>IF(A328="","",IF(OR(A328&lt;TaxStart,A328&gt;TaxEnd),"Outside tax year",IF(A328&lt;DATE(YEAR(TaxStart),7,6),"Q1",IF(A328&lt;DATE(YEAR(TaxStart),10,6),"Q2",IF(A328&lt;DATE(YEAR(TaxStart)+1,1,6),"Q3","Q4")))))</f>
        <v/>
      </c>
    </row>
    <row r="329">
      <c r="A329" s="8" t="n"/>
      <c r="B329" s="13" t="n"/>
      <c r="C329" s="13" t="n"/>
      <c r="D329" s="13" t="n"/>
      <c r="E329" s="11" t="n"/>
      <c r="F329" s="7">
        <f>IF(A329="","",IF(OR(A329&lt;TaxStart,A329&gt;TaxEnd),"Outside tax year",IF(A329&lt;DATE(YEAR(TaxStart),7,6),"Q1",IF(A329&lt;DATE(YEAR(TaxStart),10,6),"Q2",IF(A329&lt;DATE(YEAR(TaxStart)+1,1,6),"Q3","Q4")))))</f>
        <v/>
      </c>
    </row>
    <row r="330">
      <c r="A330" s="8" t="n"/>
      <c r="B330" s="13" t="n"/>
      <c r="C330" s="13" t="n"/>
      <c r="D330" s="13" t="n"/>
      <c r="E330" s="11" t="n"/>
      <c r="F330" s="7">
        <f>IF(A330="","",IF(OR(A330&lt;TaxStart,A330&gt;TaxEnd),"Outside tax year",IF(A330&lt;DATE(YEAR(TaxStart),7,6),"Q1",IF(A330&lt;DATE(YEAR(TaxStart),10,6),"Q2",IF(A330&lt;DATE(YEAR(TaxStart)+1,1,6),"Q3","Q4")))))</f>
        <v/>
      </c>
    </row>
    <row r="331">
      <c r="A331" s="8" t="n"/>
      <c r="B331" s="13" t="n"/>
      <c r="C331" s="13" t="n"/>
      <c r="D331" s="13" t="n"/>
      <c r="E331" s="11" t="n"/>
      <c r="F331" s="7">
        <f>IF(A331="","",IF(OR(A331&lt;TaxStart,A331&gt;TaxEnd),"Outside tax year",IF(A331&lt;DATE(YEAR(TaxStart),7,6),"Q1",IF(A331&lt;DATE(YEAR(TaxStart),10,6),"Q2",IF(A331&lt;DATE(YEAR(TaxStart)+1,1,6),"Q3","Q4")))))</f>
        <v/>
      </c>
    </row>
    <row r="332">
      <c r="A332" s="8" t="n"/>
      <c r="B332" s="13" t="n"/>
      <c r="C332" s="13" t="n"/>
      <c r="D332" s="13" t="n"/>
      <c r="E332" s="11" t="n"/>
      <c r="F332" s="7">
        <f>IF(A332="","",IF(OR(A332&lt;TaxStart,A332&gt;TaxEnd),"Outside tax year",IF(A332&lt;DATE(YEAR(TaxStart),7,6),"Q1",IF(A332&lt;DATE(YEAR(TaxStart),10,6),"Q2",IF(A332&lt;DATE(YEAR(TaxStart)+1,1,6),"Q3","Q4")))))</f>
        <v/>
      </c>
    </row>
    <row r="333">
      <c r="A333" s="8" t="n"/>
      <c r="B333" s="13" t="n"/>
      <c r="C333" s="13" t="n"/>
      <c r="D333" s="13" t="n"/>
      <c r="E333" s="11" t="n"/>
      <c r="F333" s="7">
        <f>IF(A333="","",IF(OR(A333&lt;TaxStart,A333&gt;TaxEnd),"Outside tax year",IF(A333&lt;DATE(YEAR(TaxStart),7,6),"Q1",IF(A333&lt;DATE(YEAR(TaxStart),10,6),"Q2",IF(A333&lt;DATE(YEAR(TaxStart)+1,1,6),"Q3","Q4")))))</f>
        <v/>
      </c>
    </row>
    <row r="334">
      <c r="A334" s="8" t="n"/>
      <c r="B334" s="13" t="n"/>
      <c r="C334" s="13" t="n"/>
      <c r="D334" s="13" t="n"/>
      <c r="E334" s="11" t="n"/>
      <c r="F334" s="7">
        <f>IF(A334="","",IF(OR(A334&lt;TaxStart,A334&gt;TaxEnd),"Outside tax year",IF(A334&lt;DATE(YEAR(TaxStart),7,6),"Q1",IF(A334&lt;DATE(YEAR(TaxStart),10,6),"Q2",IF(A334&lt;DATE(YEAR(TaxStart)+1,1,6),"Q3","Q4")))))</f>
        <v/>
      </c>
    </row>
    <row r="335">
      <c r="A335" s="8" t="n"/>
      <c r="B335" s="13" t="n"/>
      <c r="C335" s="13" t="n"/>
      <c r="D335" s="13" t="n"/>
      <c r="E335" s="11" t="n"/>
      <c r="F335" s="7">
        <f>IF(A335="","",IF(OR(A335&lt;TaxStart,A335&gt;TaxEnd),"Outside tax year",IF(A335&lt;DATE(YEAR(TaxStart),7,6),"Q1",IF(A335&lt;DATE(YEAR(TaxStart),10,6),"Q2",IF(A335&lt;DATE(YEAR(TaxStart)+1,1,6),"Q3","Q4")))))</f>
        <v/>
      </c>
    </row>
    <row r="336">
      <c r="A336" s="8" t="n"/>
      <c r="B336" s="13" t="n"/>
      <c r="C336" s="13" t="n"/>
      <c r="D336" s="13" t="n"/>
      <c r="E336" s="11" t="n"/>
      <c r="F336" s="7">
        <f>IF(A336="","",IF(OR(A336&lt;TaxStart,A336&gt;TaxEnd),"Outside tax year",IF(A336&lt;DATE(YEAR(TaxStart),7,6),"Q1",IF(A336&lt;DATE(YEAR(TaxStart),10,6),"Q2",IF(A336&lt;DATE(YEAR(TaxStart)+1,1,6),"Q3","Q4")))))</f>
        <v/>
      </c>
    </row>
    <row r="337">
      <c r="A337" s="8" t="n"/>
      <c r="B337" s="13" t="n"/>
      <c r="C337" s="13" t="n"/>
      <c r="D337" s="13" t="n"/>
      <c r="E337" s="11" t="n"/>
      <c r="F337" s="7">
        <f>IF(A337="","",IF(OR(A337&lt;TaxStart,A337&gt;TaxEnd),"Outside tax year",IF(A337&lt;DATE(YEAR(TaxStart),7,6),"Q1",IF(A337&lt;DATE(YEAR(TaxStart),10,6),"Q2",IF(A337&lt;DATE(YEAR(TaxStart)+1,1,6),"Q3","Q4")))))</f>
        <v/>
      </c>
    </row>
    <row r="338">
      <c r="A338" s="8" t="n"/>
      <c r="B338" s="13" t="n"/>
      <c r="C338" s="13" t="n"/>
      <c r="D338" s="13" t="n"/>
      <c r="E338" s="11" t="n"/>
      <c r="F338" s="7">
        <f>IF(A338="","",IF(OR(A338&lt;TaxStart,A338&gt;TaxEnd),"Outside tax year",IF(A338&lt;DATE(YEAR(TaxStart),7,6),"Q1",IF(A338&lt;DATE(YEAR(TaxStart),10,6),"Q2",IF(A338&lt;DATE(YEAR(TaxStart)+1,1,6),"Q3","Q4")))))</f>
        <v/>
      </c>
    </row>
    <row r="339">
      <c r="A339" s="8" t="n"/>
      <c r="B339" s="13" t="n"/>
      <c r="C339" s="13" t="n"/>
      <c r="D339" s="13" t="n"/>
      <c r="E339" s="11" t="n"/>
      <c r="F339" s="7">
        <f>IF(A339="","",IF(OR(A339&lt;TaxStart,A339&gt;TaxEnd),"Outside tax year",IF(A339&lt;DATE(YEAR(TaxStart),7,6),"Q1",IF(A339&lt;DATE(YEAR(TaxStart),10,6),"Q2",IF(A339&lt;DATE(YEAR(TaxStart)+1,1,6),"Q3","Q4")))))</f>
        <v/>
      </c>
    </row>
    <row r="340">
      <c r="A340" s="8" t="n"/>
      <c r="B340" s="13" t="n"/>
      <c r="C340" s="13" t="n"/>
      <c r="D340" s="13" t="n"/>
      <c r="E340" s="11" t="n"/>
      <c r="F340" s="7">
        <f>IF(A340="","",IF(OR(A340&lt;TaxStart,A340&gt;TaxEnd),"Outside tax year",IF(A340&lt;DATE(YEAR(TaxStart),7,6),"Q1",IF(A340&lt;DATE(YEAR(TaxStart),10,6),"Q2",IF(A340&lt;DATE(YEAR(TaxStart)+1,1,6),"Q3","Q4")))))</f>
        <v/>
      </c>
    </row>
    <row r="341">
      <c r="A341" s="8" t="n"/>
      <c r="B341" s="13" t="n"/>
      <c r="C341" s="13" t="n"/>
      <c r="D341" s="13" t="n"/>
      <c r="E341" s="11" t="n"/>
      <c r="F341" s="7">
        <f>IF(A341="","",IF(OR(A341&lt;TaxStart,A341&gt;TaxEnd),"Outside tax year",IF(A341&lt;DATE(YEAR(TaxStart),7,6),"Q1",IF(A341&lt;DATE(YEAR(TaxStart),10,6),"Q2",IF(A341&lt;DATE(YEAR(TaxStart)+1,1,6),"Q3","Q4")))))</f>
        <v/>
      </c>
    </row>
    <row r="342">
      <c r="A342" s="8" t="n"/>
      <c r="B342" s="13" t="n"/>
      <c r="C342" s="13" t="n"/>
      <c r="D342" s="13" t="n"/>
      <c r="E342" s="11" t="n"/>
      <c r="F342" s="7">
        <f>IF(A342="","",IF(OR(A342&lt;TaxStart,A342&gt;TaxEnd),"Outside tax year",IF(A342&lt;DATE(YEAR(TaxStart),7,6),"Q1",IF(A342&lt;DATE(YEAR(TaxStart),10,6),"Q2",IF(A342&lt;DATE(YEAR(TaxStart)+1,1,6),"Q3","Q4")))))</f>
        <v/>
      </c>
    </row>
    <row r="343">
      <c r="A343" s="8" t="n"/>
      <c r="B343" s="13" t="n"/>
      <c r="C343" s="13" t="n"/>
      <c r="D343" s="13" t="n"/>
      <c r="E343" s="11" t="n"/>
      <c r="F343" s="7">
        <f>IF(A343="","",IF(OR(A343&lt;TaxStart,A343&gt;TaxEnd),"Outside tax year",IF(A343&lt;DATE(YEAR(TaxStart),7,6),"Q1",IF(A343&lt;DATE(YEAR(TaxStart),10,6),"Q2",IF(A343&lt;DATE(YEAR(TaxStart)+1,1,6),"Q3","Q4")))))</f>
        <v/>
      </c>
    </row>
    <row r="344">
      <c r="A344" s="8" t="n"/>
      <c r="B344" s="13" t="n"/>
      <c r="C344" s="13" t="n"/>
      <c r="D344" s="13" t="n"/>
      <c r="E344" s="11" t="n"/>
      <c r="F344" s="7">
        <f>IF(A344="","",IF(OR(A344&lt;TaxStart,A344&gt;TaxEnd),"Outside tax year",IF(A344&lt;DATE(YEAR(TaxStart),7,6),"Q1",IF(A344&lt;DATE(YEAR(TaxStart),10,6),"Q2",IF(A344&lt;DATE(YEAR(TaxStart)+1,1,6),"Q3","Q4")))))</f>
        <v/>
      </c>
    </row>
    <row r="345">
      <c r="A345" s="8" t="n"/>
      <c r="B345" s="13" t="n"/>
      <c r="C345" s="13" t="n"/>
      <c r="D345" s="13" t="n"/>
      <c r="E345" s="11" t="n"/>
      <c r="F345" s="7">
        <f>IF(A345="","",IF(OR(A345&lt;TaxStart,A345&gt;TaxEnd),"Outside tax year",IF(A345&lt;DATE(YEAR(TaxStart),7,6),"Q1",IF(A345&lt;DATE(YEAR(TaxStart),10,6),"Q2",IF(A345&lt;DATE(YEAR(TaxStart)+1,1,6),"Q3","Q4")))))</f>
        <v/>
      </c>
    </row>
    <row r="346">
      <c r="A346" s="8" t="n"/>
      <c r="B346" s="13" t="n"/>
      <c r="C346" s="13" t="n"/>
      <c r="D346" s="13" t="n"/>
      <c r="E346" s="11" t="n"/>
      <c r="F346" s="7">
        <f>IF(A346="","",IF(OR(A346&lt;TaxStart,A346&gt;TaxEnd),"Outside tax year",IF(A346&lt;DATE(YEAR(TaxStart),7,6),"Q1",IF(A346&lt;DATE(YEAR(TaxStart),10,6),"Q2",IF(A346&lt;DATE(YEAR(TaxStart)+1,1,6),"Q3","Q4")))))</f>
        <v/>
      </c>
    </row>
    <row r="347">
      <c r="A347" s="8" t="n"/>
      <c r="B347" s="13" t="n"/>
      <c r="C347" s="13" t="n"/>
      <c r="D347" s="13" t="n"/>
      <c r="E347" s="11" t="n"/>
      <c r="F347" s="7">
        <f>IF(A347="","",IF(OR(A347&lt;TaxStart,A347&gt;TaxEnd),"Outside tax year",IF(A347&lt;DATE(YEAR(TaxStart),7,6),"Q1",IF(A347&lt;DATE(YEAR(TaxStart),10,6),"Q2",IF(A347&lt;DATE(YEAR(TaxStart)+1,1,6),"Q3","Q4")))))</f>
        <v/>
      </c>
    </row>
    <row r="348">
      <c r="A348" s="8" t="n"/>
      <c r="B348" s="13" t="n"/>
      <c r="C348" s="13" t="n"/>
      <c r="D348" s="13" t="n"/>
      <c r="E348" s="11" t="n"/>
      <c r="F348" s="7">
        <f>IF(A348="","",IF(OR(A348&lt;TaxStart,A348&gt;TaxEnd),"Outside tax year",IF(A348&lt;DATE(YEAR(TaxStart),7,6),"Q1",IF(A348&lt;DATE(YEAR(TaxStart),10,6),"Q2",IF(A348&lt;DATE(YEAR(TaxStart)+1,1,6),"Q3","Q4")))))</f>
        <v/>
      </c>
    </row>
    <row r="349">
      <c r="A349" s="8" t="n"/>
      <c r="B349" s="13" t="n"/>
      <c r="C349" s="13" t="n"/>
      <c r="D349" s="13" t="n"/>
      <c r="E349" s="11" t="n"/>
      <c r="F349" s="7">
        <f>IF(A349="","",IF(OR(A349&lt;TaxStart,A349&gt;TaxEnd),"Outside tax year",IF(A349&lt;DATE(YEAR(TaxStart),7,6),"Q1",IF(A349&lt;DATE(YEAR(TaxStart),10,6),"Q2",IF(A349&lt;DATE(YEAR(TaxStart)+1,1,6),"Q3","Q4")))))</f>
        <v/>
      </c>
    </row>
    <row r="350">
      <c r="A350" s="8" t="n"/>
      <c r="B350" s="13" t="n"/>
      <c r="C350" s="13" t="n"/>
      <c r="D350" s="13" t="n"/>
      <c r="E350" s="11" t="n"/>
      <c r="F350" s="7">
        <f>IF(A350="","",IF(OR(A350&lt;TaxStart,A350&gt;TaxEnd),"Outside tax year",IF(A350&lt;DATE(YEAR(TaxStart),7,6),"Q1",IF(A350&lt;DATE(YEAR(TaxStart),10,6),"Q2",IF(A350&lt;DATE(YEAR(TaxStart)+1,1,6),"Q3","Q4")))))</f>
        <v/>
      </c>
    </row>
    <row r="351">
      <c r="A351" s="8" t="n"/>
      <c r="B351" s="13" t="n"/>
      <c r="C351" s="13" t="n"/>
      <c r="D351" s="13" t="n"/>
      <c r="E351" s="11" t="n"/>
      <c r="F351" s="7">
        <f>IF(A351="","",IF(OR(A351&lt;TaxStart,A351&gt;TaxEnd),"Outside tax year",IF(A351&lt;DATE(YEAR(TaxStart),7,6),"Q1",IF(A351&lt;DATE(YEAR(TaxStart),10,6),"Q2",IF(A351&lt;DATE(YEAR(TaxStart)+1,1,6),"Q3","Q4")))))</f>
        <v/>
      </c>
    </row>
    <row r="352">
      <c r="A352" s="8" t="n"/>
      <c r="B352" s="13" t="n"/>
      <c r="C352" s="13" t="n"/>
      <c r="D352" s="13" t="n"/>
      <c r="E352" s="11" t="n"/>
      <c r="F352" s="7">
        <f>IF(A352="","",IF(OR(A352&lt;TaxStart,A352&gt;TaxEnd),"Outside tax year",IF(A352&lt;DATE(YEAR(TaxStart),7,6),"Q1",IF(A352&lt;DATE(YEAR(TaxStart),10,6),"Q2",IF(A352&lt;DATE(YEAR(TaxStart)+1,1,6),"Q3","Q4")))))</f>
        <v/>
      </c>
    </row>
    <row r="353">
      <c r="A353" s="8" t="n"/>
      <c r="B353" s="13" t="n"/>
      <c r="C353" s="13" t="n"/>
      <c r="D353" s="13" t="n"/>
      <c r="E353" s="11" t="n"/>
      <c r="F353" s="7">
        <f>IF(A353="","",IF(OR(A353&lt;TaxStart,A353&gt;TaxEnd),"Outside tax year",IF(A353&lt;DATE(YEAR(TaxStart),7,6),"Q1",IF(A353&lt;DATE(YEAR(TaxStart),10,6),"Q2",IF(A353&lt;DATE(YEAR(TaxStart)+1,1,6),"Q3","Q4")))))</f>
        <v/>
      </c>
    </row>
    <row r="354">
      <c r="A354" s="8" t="n"/>
      <c r="B354" s="13" t="n"/>
      <c r="C354" s="13" t="n"/>
      <c r="D354" s="13" t="n"/>
      <c r="E354" s="11" t="n"/>
      <c r="F354" s="7">
        <f>IF(A354="","",IF(OR(A354&lt;TaxStart,A354&gt;TaxEnd),"Outside tax year",IF(A354&lt;DATE(YEAR(TaxStart),7,6),"Q1",IF(A354&lt;DATE(YEAR(TaxStart),10,6),"Q2",IF(A354&lt;DATE(YEAR(TaxStart)+1,1,6),"Q3","Q4")))))</f>
        <v/>
      </c>
    </row>
    <row r="355">
      <c r="A355" s="8" t="n"/>
      <c r="B355" s="13" t="n"/>
      <c r="C355" s="13" t="n"/>
      <c r="D355" s="13" t="n"/>
      <c r="E355" s="11" t="n"/>
      <c r="F355" s="7">
        <f>IF(A355="","",IF(OR(A355&lt;TaxStart,A355&gt;TaxEnd),"Outside tax year",IF(A355&lt;DATE(YEAR(TaxStart),7,6),"Q1",IF(A355&lt;DATE(YEAR(TaxStart),10,6),"Q2",IF(A355&lt;DATE(YEAR(TaxStart)+1,1,6),"Q3","Q4")))))</f>
        <v/>
      </c>
    </row>
    <row r="356">
      <c r="A356" s="8" t="n"/>
      <c r="B356" s="13" t="n"/>
      <c r="C356" s="13" t="n"/>
      <c r="D356" s="13" t="n"/>
      <c r="E356" s="11" t="n"/>
      <c r="F356" s="7">
        <f>IF(A356="","",IF(OR(A356&lt;TaxStart,A356&gt;TaxEnd),"Outside tax year",IF(A356&lt;DATE(YEAR(TaxStart),7,6),"Q1",IF(A356&lt;DATE(YEAR(TaxStart),10,6),"Q2",IF(A356&lt;DATE(YEAR(TaxStart)+1,1,6),"Q3","Q4")))))</f>
        <v/>
      </c>
    </row>
    <row r="357">
      <c r="A357" s="8" t="n"/>
      <c r="B357" s="13" t="n"/>
      <c r="C357" s="13" t="n"/>
      <c r="D357" s="13" t="n"/>
      <c r="E357" s="11" t="n"/>
      <c r="F357" s="7">
        <f>IF(A357="","",IF(OR(A357&lt;TaxStart,A357&gt;TaxEnd),"Outside tax year",IF(A357&lt;DATE(YEAR(TaxStart),7,6),"Q1",IF(A357&lt;DATE(YEAR(TaxStart),10,6),"Q2",IF(A357&lt;DATE(YEAR(TaxStart)+1,1,6),"Q3","Q4")))))</f>
        <v/>
      </c>
    </row>
    <row r="358">
      <c r="A358" s="8" t="n"/>
      <c r="B358" s="13" t="n"/>
      <c r="C358" s="13" t="n"/>
      <c r="D358" s="13" t="n"/>
      <c r="E358" s="11" t="n"/>
      <c r="F358" s="7">
        <f>IF(A358="","",IF(OR(A358&lt;TaxStart,A358&gt;TaxEnd),"Outside tax year",IF(A358&lt;DATE(YEAR(TaxStart),7,6),"Q1",IF(A358&lt;DATE(YEAR(TaxStart),10,6),"Q2",IF(A358&lt;DATE(YEAR(TaxStart)+1,1,6),"Q3","Q4")))))</f>
        <v/>
      </c>
    </row>
    <row r="359">
      <c r="A359" s="8" t="n"/>
      <c r="B359" s="13" t="n"/>
      <c r="C359" s="13" t="n"/>
      <c r="D359" s="13" t="n"/>
      <c r="E359" s="11" t="n"/>
      <c r="F359" s="7">
        <f>IF(A359="","",IF(OR(A359&lt;TaxStart,A359&gt;TaxEnd),"Outside tax year",IF(A359&lt;DATE(YEAR(TaxStart),7,6),"Q1",IF(A359&lt;DATE(YEAR(TaxStart),10,6),"Q2",IF(A359&lt;DATE(YEAR(TaxStart)+1,1,6),"Q3","Q4")))))</f>
        <v/>
      </c>
    </row>
    <row r="360">
      <c r="A360" s="8" t="n"/>
      <c r="B360" s="13" t="n"/>
      <c r="C360" s="13" t="n"/>
      <c r="D360" s="13" t="n"/>
      <c r="E360" s="11" t="n"/>
      <c r="F360" s="7">
        <f>IF(A360="","",IF(OR(A360&lt;TaxStart,A360&gt;TaxEnd),"Outside tax year",IF(A360&lt;DATE(YEAR(TaxStart),7,6),"Q1",IF(A360&lt;DATE(YEAR(TaxStart),10,6),"Q2",IF(A360&lt;DATE(YEAR(TaxStart)+1,1,6),"Q3","Q4")))))</f>
        <v/>
      </c>
    </row>
    <row r="361">
      <c r="A361" s="8" t="n"/>
      <c r="B361" s="13" t="n"/>
      <c r="C361" s="13" t="n"/>
      <c r="D361" s="13" t="n"/>
      <c r="E361" s="11" t="n"/>
      <c r="F361" s="7">
        <f>IF(A361="","",IF(OR(A361&lt;TaxStart,A361&gt;TaxEnd),"Outside tax year",IF(A361&lt;DATE(YEAR(TaxStart),7,6),"Q1",IF(A361&lt;DATE(YEAR(TaxStart),10,6),"Q2",IF(A361&lt;DATE(YEAR(TaxStart)+1,1,6),"Q3","Q4")))))</f>
        <v/>
      </c>
    </row>
    <row r="362">
      <c r="A362" s="8" t="n"/>
      <c r="B362" s="13" t="n"/>
      <c r="C362" s="13" t="n"/>
      <c r="D362" s="13" t="n"/>
      <c r="E362" s="11" t="n"/>
      <c r="F362" s="7">
        <f>IF(A362="","",IF(OR(A362&lt;TaxStart,A362&gt;TaxEnd),"Outside tax year",IF(A362&lt;DATE(YEAR(TaxStart),7,6),"Q1",IF(A362&lt;DATE(YEAR(TaxStart),10,6),"Q2",IF(A362&lt;DATE(YEAR(TaxStart)+1,1,6),"Q3","Q4")))))</f>
        <v/>
      </c>
    </row>
    <row r="363">
      <c r="A363" s="8" t="n"/>
      <c r="B363" s="13" t="n"/>
      <c r="C363" s="13" t="n"/>
      <c r="D363" s="13" t="n"/>
      <c r="E363" s="11" t="n"/>
      <c r="F363" s="7">
        <f>IF(A363="","",IF(OR(A363&lt;TaxStart,A363&gt;TaxEnd),"Outside tax year",IF(A363&lt;DATE(YEAR(TaxStart),7,6),"Q1",IF(A363&lt;DATE(YEAR(TaxStart),10,6),"Q2",IF(A363&lt;DATE(YEAR(TaxStart)+1,1,6),"Q3","Q4")))))</f>
        <v/>
      </c>
    </row>
    <row r="364">
      <c r="A364" s="8" t="n"/>
      <c r="B364" s="13" t="n"/>
      <c r="C364" s="13" t="n"/>
      <c r="D364" s="13" t="n"/>
      <c r="E364" s="11" t="n"/>
      <c r="F364" s="7">
        <f>IF(A364="","",IF(OR(A364&lt;TaxStart,A364&gt;TaxEnd),"Outside tax year",IF(A364&lt;DATE(YEAR(TaxStart),7,6),"Q1",IF(A364&lt;DATE(YEAR(TaxStart),10,6),"Q2",IF(A364&lt;DATE(YEAR(TaxStart)+1,1,6),"Q3","Q4")))))</f>
        <v/>
      </c>
    </row>
    <row r="365">
      <c r="A365" s="8" t="n"/>
      <c r="B365" s="13" t="n"/>
      <c r="C365" s="13" t="n"/>
      <c r="D365" s="13" t="n"/>
      <c r="E365" s="11" t="n"/>
      <c r="F365" s="7">
        <f>IF(A365="","",IF(OR(A365&lt;TaxStart,A365&gt;TaxEnd),"Outside tax year",IF(A365&lt;DATE(YEAR(TaxStart),7,6),"Q1",IF(A365&lt;DATE(YEAR(TaxStart),10,6),"Q2",IF(A365&lt;DATE(YEAR(TaxStart)+1,1,6),"Q3","Q4")))))</f>
        <v/>
      </c>
    </row>
    <row r="366">
      <c r="A366" s="8" t="n"/>
      <c r="B366" s="13" t="n"/>
      <c r="C366" s="13" t="n"/>
      <c r="D366" s="13" t="n"/>
      <c r="E366" s="11" t="n"/>
      <c r="F366" s="7">
        <f>IF(A366="","",IF(OR(A366&lt;TaxStart,A366&gt;TaxEnd),"Outside tax year",IF(A366&lt;DATE(YEAR(TaxStart),7,6),"Q1",IF(A366&lt;DATE(YEAR(TaxStart),10,6),"Q2",IF(A366&lt;DATE(YEAR(TaxStart)+1,1,6),"Q3","Q4")))))</f>
        <v/>
      </c>
    </row>
    <row r="367">
      <c r="A367" s="8" t="n"/>
      <c r="B367" s="13" t="n"/>
      <c r="C367" s="13" t="n"/>
      <c r="D367" s="13" t="n"/>
      <c r="E367" s="11" t="n"/>
      <c r="F367" s="7">
        <f>IF(A367="","",IF(OR(A367&lt;TaxStart,A367&gt;TaxEnd),"Outside tax year",IF(A367&lt;DATE(YEAR(TaxStart),7,6),"Q1",IF(A367&lt;DATE(YEAR(TaxStart),10,6),"Q2",IF(A367&lt;DATE(YEAR(TaxStart)+1,1,6),"Q3","Q4")))))</f>
        <v/>
      </c>
    </row>
    <row r="368">
      <c r="A368" s="8" t="n"/>
      <c r="B368" s="13" t="n"/>
      <c r="C368" s="13" t="n"/>
      <c r="D368" s="13" t="n"/>
      <c r="E368" s="11" t="n"/>
      <c r="F368" s="7">
        <f>IF(A368="","",IF(OR(A368&lt;TaxStart,A368&gt;TaxEnd),"Outside tax year",IF(A368&lt;DATE(YEAR(TaxStart),7,6),"Q1",IF(A368&lt;DATE(YEAR(TaxStart),10,6),"Q2",IF(A368&lt;DATE(YEAR(TaxStart)+1,1,6),"Q3","Q4")))))</f>
        <v/>
      </c>
    </row>
    <row r="369">
      <c r="A369" s="8" t="n"/>
      <c r="B369" s="13" t="n"/>
      <c r="C369" s="13" t="n"/>
      <c r="D369" s="13" t="n"/>
      <c r="E369" s="11" t="n"/>
      <c r="F369" s="7">
        <f>IF(A369="","",IF(OR(A369&lt;TaxStart,A369&gt;TaxEnd),"Outside tax year",IF(A369&lt;DATE(YEAR(TaxStart),7,6),"Q1",IF(A369&lt;DATE(YEAR(TaxStart),10,6),"Q2",IF(A369&lt;DATE(YEAR(TaxStart)+1,1,6),"Q3","Q4")))))</f>
        <v/>
      </c>
    </row>
    <row r="370">
      <c r="A370" s="8" t="n"/>
      <c r="B370" s="13" t="n"/>
      <c r="C370" s="13" t="n"/>
      <c r="D370" s="13" t="n"/>
      <c r="E370" s="11" t="n"/>
      <c r="F370" s="7">
        <f>IF(A370="","",IF(OR(A370&lt;TaxStart,A370&gt;TaxEnd),"Outside tax year",IF(A370&lt;DATE(YEAR(TaxStart),7,6),"Q1",IF(A370&lt;DATE(YEAR(TaxStart),10,6),"Q2",IF(A370&lt;DATE(YEAR(TaxStart)+1,1,6),"Q3","Q4")))))</f>
        <v/>
      </c>
    </row>
    <row r="371">
      <c r="A371" s="8" t="n"/>
      <c r="B371" s="13" t="n"/>
      <c r="C371" s="13" t="n"/>
      <c r="D371" s="13" t="n"/>
      <c r="E371" s="11" t="n"/>
      <c r="F371" s="7">
        <f>IF(A371="","",IF(OR(A371&lt;TaxStart,A371&gt;TaxEnd),"Outside tax year",IF(A371&lt;DATE(YEAR(TaxStart),7,6),"Q1",IF(A371&lt;DATE(YEAR(TaxStart),10,6),"Q2",IF(A371&lt;DATE(YEAR(TaxStart)+1,1,6),"Q3","Q4")))))</f>
        <v/>
      </c>
    </row>
    <row r="372">
      <c r="A372" s="8" t="n"/>
      <c r="B372" s="13" t="n"/>
      <c r="C372" s="13" t="n"/>
      <c r="D372" s="13" t="n"/>
      <c r="E372" s="11" t="n"/>
      <c r="F372" s="7">
        <f>IF(A372="","",IF(OR(A372&lt;TaxStart,A372&gt;TaxEnd),"Outside tax year",IF(A372&lt;DATE(YEAR(TaxStart),7,6),"Q1",IF(A372&lt;DATE(YEAR(TaxStart),10,6),"Q2",IF(A372&lt;DATE(YEAR(TaxStart)+1,1,6),"Q3","Q4")))))</f>
        <v/>
      </c>
    </row>
    <row r="373">
      <c r="A373" s="8" t="n"/>
      <c r="B373" s="13" t="n"/>
      <c r="C373" s="13" t="n"/>
      <c r="D373" s="13" t="n"/>
      <c r="E373" s="11" t="n"/>
      <c r="F373" s="7">
        <f>IF(A373="","",IF(OR(A373&lt;TaxStart,A373&gt;TaxEnd),"Outside tax year",IF(A373&lt;DATE(YEAR(TaxStart),7,6),"Q1",IF(A373&lt;DATE(YEAR(TaxStart),10,6),"Q2",IF(A373&lt;DATE(YEAR(TaxStart)+1,1,6),"Q3","Q4")))))</f>
        <v/>
      </c>
    </row>
    <row r="374">
      <c r="A374" s="8" t="n"/>
      <c r="B374" s="13" t="n"/>
      <c r="C374" s="13" t="n"/>
      <c r="D374" s="13" t="n"/>
      <c r="E374" s="11" t="n"/>
      <c r="F374" s="7">
        <f>IF(A374="","",IF(OR(A374&lt;TaxStart,A374&gt;TaxEnd),"Outside tax year",IF(A374&lt;DATE(YEAR(TaxStart),7,6),"Q1",IF(A374&lt;DATE(YEAR(TaxStart),10,6),"Q2",IF(A374&lt;DATE(YEAR(TaxStart)+1,1,6),"Q3","Q4")))))</f>
        <v/>
      </c>
    </row>
    <row r="375">
      <c r="A375" s="8" t="n"/>
      <c r="B375" s="13" t="n"/>
      <c r="C375" s="13" t="n"/>
      <c r="D375" s="13" t="n"/>
      <c r="E375" s="11" t="n"/>
      <c r="F375" s="7">
        <f>IF(A375="","",IF(OR(A375&lt;TaxStart,A375&gt;TaxEnd),"Outside tax year",IF(A375&lt;DATE(YEAR(TaxStart),7,6),"Q1",IF(A375&lt;DATE(YEAR(TaxStart),10,6),"Q2",IF(A375&lt;DATE(YEAR(TaxStart)+1,1,6),"Q3","Q4")))))</f>
        <v/>
      </c>
    </row>
    <row r="376">
      <c r="A376" s="8" t="n"/>
      <c r="B376" s="13" t="n"/>
      <c r="C376" s="13" t="n"/>
      <c r="D376" s="13" t="n"/>
      <c r="E376" s="11" t="n"/>
      <c r="F376" s="7">
        <f>IF(A376="","",IF(OR(A376&lt;TaxStart,A376&gt;TaxEnd),"Outside tax year",IF(A376&lt;DATE(YEAR(TaxStart),7,6),"Q1",IF(A376&lt;DATE(YEAR(TaxStart),10,6),"Q2",IF(A376&lt;DATE(YEAR(TaxStart)+1,1,6),"Q3","Q4")))))</f>
        <v/>
      </c>
    </row>
    <row r="377">
      <c r="A377" s="8" t="n"/>
      <c r="B377" s="13" t="n"/>
      <c r="C377" s="13" t="n"/>
      <c r="D377" s="13" t="n"/>
      <c r="E377" s="11" t="n"/>
      <c r="F377" s="7">
        <f>IF(A377="","",IF(OR(A377&lt;TaxStart,A377&gt;TaxEnd),"Outside tax year",IF(A377&lt;DATE(YEAR(TaxStart),7,6),"Q1",IF(A377&lt;DATE(YEAR(TaxStart),10,6),"Q2",IF(A377&lt;DATE(YEAR(TaxStart)+1,1,6),"Q3","Q4")))))</f>
        <v/>
      </c>
    </row>
    <row r="378">
      <c r="A378" s="8" t="n"/>
      <c r="B378" s="13" t="n"/>
      <c r="C378" s="13" t="n"/>
      <c r="D378" s="13" t="n"/>
      <c r="E378" s="11" t="n"/>
      <c r="F378" s="7">
        <f>IF(A378="","",IF(OR(A378&lt;TaxStart,A378&gt;TaxEnd),"Outside tax year",IF(A378&lt;DATE(YEAR(TaxStart),7,6),"Q1",IF(A378&lt;DATE(YEAR(TaxStart),10,6),"Q2",IF(A378&lt;DATE(YEAR(TaxStart)+1,1,6),"Q3","Q4")))))</f>
        <v/>
      </c>
    </row>
    <row r="379">
      <c r="A379" s="8" t="n"/>
      <c r="B379" s="13" t="n"/>
      <c r="C379" s="13" t="n"/>
      <c r="D379" s="13" t="n"/>
      <c r="E379" s="11" t="n"/>
      <c r="F379" s="7">
        <f>IF(A379="","",IF(OR(A379&lt;TaxStart,A379&gt;TaxEnd),"Outside tax year",IF(A379&lt;DATE(YEAR(TaxStart),7,6),"Q1",IF(A379&lt;DATE(YEAR(TaxStart),10,6),"Q2",IF(A379&lt;DATE(YEAR(TaxStart)+1,1,6),"Q3","Q4")))))</f>
        <v/>
      </c>
    </row>
    <row r="380">
      <c r="A380" s="8" t="n"/>
      <c r="B380" s="13" t="n"/>
      <c r="C380" s="13" t="n"/>
      <c r="D380" s="13" t="n"/>
      <c r="E380" s="11" t="n"/>
      <c r="F380" s="7">
        <f>IF(A380="","",IF(OR(A380&lt;TaxStart,A380&gt;TaxEnd),"Outside tax year",IF(A380&lt;DATE(YEAR(TaxStart),7,6),"Q1",IF(A380&lt;DATE(YEAR(TaxStart),10,6),"Q2",IF(A380&lt;DATE(YEAR(TaxStart)+1,1,6),"Q3","Q4")))))</f>
        <v/>
      </c>
    </row>
    <row r="381">
      <c r="A381" s="8" t="n"/>
      <c r="B381" s="13" t="n"/>
      <c r="C381" s="13" t="n"/>
      <c r="D381" s="13" t="n"/>
      <c r="E381" s="11" t="n"/>
      <c r="F381" s="7">
        <f>IF(A381="","",IF(OR(A381&lt;TaxStart,A381&gt;TaxEnd),"Outside tax year",IF(A381&lt;DATE(YEAR(TaxStart),7,6),"Q1",IF(A381&lt;DATE(YEAR(TaxStart),10,6),"Q2",IF(A381&lt;DATE(YEAR(TaxStart)+1,1,6),"Q3","Q4")))))</f>
        <v/>
      </c>
    </row>
    <row r="382">
      <c r="A382" s="8" t="n"/>
      <c r="B382" s="13" t="n"/>
      <c r="C382" s="13" t="n"/>
      <c r="D382" s="13" t="n"/>
      <c r="E382" s="11" t="n"/>
      <c r="F382" s="7">
        <f>IF(A382="","",IF(OR(A382&lt;TaxStart,A382&gt;TaxEnd),"Outside tax year",IF(A382&lt;DATE(YEAR(TaxStart),7,6),"Q1",IF(A382&lt;DATE(YEAR(TaxStart),10,6),"Q2",IF(A382&lt;DATE(YEAR(TaxStart)+1,1,6),"Q3","Q4")))))</f>
        <v/>
      </c>
    </row>
    <row r="383">
      <c r="A383" s="8" t="n"/>
      <c r="B383" s="13" t="n"/>
      <c r="C383" s="13" t="n"/>
      <c r="D383" s="13" t="n"/>
      <c r="E383" s="11" t="n"/>
      <c r="F383" s="7">
        <f>IF(A383="","",IF(OR(A383&lt;TaxStart,A383&gt;TaxEnd),"Outside tax year",IF(A383&lt;DATE(YEAR(TaxStart),7,6),"Q1",IF(A383&lt;DATE(YEAR(TaxStart),10,6),"Q2",IF(A383&lt;DATE(YEAR(TaxStart)+1,1,6),"Q3","Q4")))))</f>
        <v/>
      </c>
    </row>
    <row r="384">
      <c r="A384" s="8" t="n"/>
      <c r="B384" s="13" t="n"/>
      <c r="C384" s="13" t="n"/>
      <c r="D384" s="13" t="n"/>
      <c r="E384" s="11" t="n"/>
      <c r="F384" s="7">
        <f>IF(A384="","",IF(OR(A384&lt;TaxStart,A384&gt;TaxEnd),"Outside tax year",IF(A384&lt;DATE(YEAR(TaxStart),7,6),"Q1",IF(A384&lt;DATE(YEAR(TaxStart),10,6),"Q2",IF(A384&lt;DATE(YEAR(TaxStart)+1,1,6),"Q3","Q4")))))</f>
        <v/>
      </c>
    </row>
    <row r="385">
      <c r="A385" s="8" t="n"/>
      <c r="B385" s="13" t="n"/>
      <c r="C385" s="13" t="n"/>
      <c r="D385" s="13" t="n"/>
      <c r="E385" s="11" t="n"/>
      <c r="F385" s="7">
        <f>IF(A385="","",IF(OR(A385&lt;TaxStart,A385&gt;TaxEnd),"Outside tax year",IF(A385&lt;DATE(YEAR(TaxStart),7,6),"Q1",IF(A385&lt;DATE(YEAR(TaxStart),10,6),"Q2",IF(A385&lt;DATE(YEAR(TaxStart)+1,1,6),"Q3","Q4")))))</f>
        <v/>
      </c>
    </row>
    <row r="386">
      <c r="A386" s="8" t="n"/>
      <c r="B386" s="13" t="n"/>
      <c r="C386" s="13" t="n"/>
      <c r="D386" s="13" t="n"/>
      <c r="E386" s="11" t="n"/>
      <c r="F386" s="7">
        <f>IF(A386="","",IF(OR(A386&lt;TaxStart,A386&gt;TaxEnd),"Outside tax year",IF(A386&lt;DATE(YEAR(TaxStart),7,6),"Q1",IF(A386&lt;DATE(YEAR(TaxStart),10,6),"Q2",IF(A386&lt;DATE(YEAR(TaxStart)+1,1,6),"Q3","Q4")))))</f>
        <v/>
      </c>
    </row>
    <row r="387">
      <c r="A387" s="8" t="n"/>
      <c r="B387" s="13" t="n"/>
      <c r="C387" s="13" t="n"/>
      <c r="D387" s="13" t="n"/>
      <c r="E387" s="11" t="n"/>
      <c r="F387" s="7">
        <f>IF(A387="","",IF(OR(A387&lt;TaxStart,A387&gt;TaxEnd),"Outside tax year",IF(A387&lt;DATE(YEAR(TaxStart),7,6),"Q1",IF(A387&lt;DATE(YEAR(TaxStart),10,6),"Q2",IF(A387&lt;DATE(YEAR(TaxStart)+1,1,6),"Q3","Q4")))))</f>
        <v/>
      </c>
    </row>
    <row r="388">
      <c r="A388" s="8" t="n"/>
      <c r="B388" s="13" t="n"/>
      <c r="C388" s="13" t="n"/>
      <c r="D388" s="13" t="n"/>
      <c r="E388" s="11" t="n"/>
      <c r="F388" s="7">
        <f>IF(A388="","",IF(OR(A388&lt;TaxStart,A388&gt;TaxEnd),"Outside tax year",IF(A388&lt;DATE(YEAR(TaxStart),7,6),"Q1",IF(A388&lt;DATE(YEAR(TaxStart),10,6),"Q2",IF(A388&lt;DATE(YEAR(TaxStart)+1,1,6),"Q3","Q4")))))</f>
        <v/>
      </c>
    </row>
    <row r="389">
      <c r="A389" s="8" t="n"/>
      <c r="B389" s="13" t="n"/>
      <c r="C389" s="13" t="n"/>
      <c r="D389" s="13" t="n"/>
      <c r="E389" s="11" t="n"/>
      <c r="F389" s="7">
        <f>IF(A389="","",IF(OR(A389&lt;TaxStart,A389&gt;TaxEnd),"Outside tax year",IF(A389&lt;DATE(YEAR(TaxStart),7,6),"Q1",IF(A389&lt;DATE(YEAR(TaxStart),10,6),"Q2",IF(A389&lt;DATE(YEAR(TaxStart)+1,1,6),"Q3","Q4")))))</f>
        <v/>
      </c>
    </row>
    <row r="390">
      <c r="A390" s="8" t="n"/>
      <c r="B390" s="13" t="n"/>
      <c r="C390" s="13" t="n"/>
      <c r="D390" s="13" t="n"/>
      <c r="E390" s="11" t="n"/>
      <c r="F390" s="7">
        <f>IF(A390="","",IF(OR(A390&lt;TaxStart,A390&gt;TaxEnd),"Outside tax year",IF(A390&lt;DATE(YEAR(TaxStart),7,6),"Q1",IF(A390&lt;DATE(YEAR(TaxStart),10,6),"Q2",IF(A390&lt;DATE(YEAR(TaxStart)+1,1,6),"Q3","Q4")))))</f>
        <v/>
      </c>
    </row>
    <row r="391">
      <c r="A391" s="8" t="n"/>
      <c r="B391" s="13" t="n"/>
      <c r="C391" s="13" t="n"/>
      <c r="D391" s="13" t="n"/>
      <c r="E391" s="11" t="n"/>
      <c r="F391" s="7">
        <f>IF(A391="","",IF(OR(A391&lt;TaxStart,A391&gt;TaxEnd),"Outside tax year",IF(A391&lt;DATE(YEAR(TaxStart),7,6),"Q1",IF(A391&lt;DATE(YEAR(TaxStart),10,6),"Q2",IF(A391&lt;DATE(YEAR(TaxStart)+1,1,6),"Q3","Q4")))))</f>
        <v/>
      </c>
    </row>
    <row r="392">
      <c r="A392" s="8" t="n"/>
      <c r="B392" s="13" t="n"/>
      <c r="C392" s="13" t="n"/>
      <c r="D392" s="13" t="n"/>
      <c r="E392" s="11" t="n"/>
      <c r="F392" s="7">
        <f>IF(A392="","",IF(OR(A392&lt;TaxStart,A392&gt;TaxEnd),"Outside tax year",IF(A392&lt;DATE(YEAR(TaxStart),7,6),"Q1",IF(A392&lt;DATE(YEAR(TaxStart),10,6),"Q2",IF(A392&lt;DATE(YEAR(TaxStart)+1,1,6),"Q3","Q4")))))</f>
        <v/>
      </c>
    </row>
    <row r="393">
      <c r="A393" s="8" t="n"/>
      <c r="B393" s="13" t="n"/>
      <c r="C393" s="13" t="n"/>
      <c r="D393" s="13" t="n"/>
      <c r="E393" s="11" t="n"/>
      <c r="F393" s="7">
        <f>IF(A393="","",IF(OR(A393&lt;TaxStart,A393&gt;TaxEnd),"Outside tax year",IF(A393&lt;DATE(YEAR(TaxStart),7,6),"Q1",IF(A393&lt;DATE(YEAR(TaxStart),10,6),"Q2",IF(A393&lt;DATE(YEAR(TaxStart)+1,1,6),"Q3","Q4")))))</f>
        <v/>
      </c>
    </row>
    <row r="394">
      <c r="A394" s="8" t="n"/>
      <c r="B394" s="13" t="n"/>
      <c r="C394" s="13" t="n"/>
      <c r="D394" s="13" t="n"/>
      <c r="E394" s="11" t="n"/>
      <c r="F394" s="7">
        <f>IF(A394="","",IF(OR(A394&lt;TaxStart,A394&gt;TaxEnd),"Outside tax year",IF(A394&lt;DATE(YEAR(TaxStart),7,6),"Q1",IF(A394&lt;DATE(YEAR(TaxStart),10,6),"Q2",IF(A394&lt;DATE(YEAR(TaxStart)+1,1,6),"Q3","Q4")))))</f>
        <v/>
      </c>
    </row>
    <row r="395">
      <c r="A395" s="8" t="n"/>
      <c r="B395" s="13" t="n"/>
      <c r="C395" s="13" t="n"/>
      <c r="D395" s="13" t="n"/>
      <c r="E395" s="11" t="n"/>
      <c r="F395" s="7">
        <f>IF(A395="","",IF(OR(A395&lt;TaxStart,A395&gt;TaxEnd),"Outside tax year",IF(A395&lt;DATE(YEAR(TaxStart),7,6),"Q1",IF(A395&lt;DATE(YEAR(TaxStart),10,6),"Q2",IF(A395&lt;DATE(YEAR(TaxStart)+1,1,6),"Q3","Q4")))))</f>
        <v/>
      </c>
    </row>
    <row r="396">
      <c r="A396" s="8" t="n"/>
      <c r="B396" s="13" t="n"/>
      <c r="C396" s="13" t="n"/>
      <c r="D396" s="13" t="n"/>
      <c r="E396" s="11" t="n"/>
      <c r="F396" s="7">
        <f>IF(A396="","",IF(OR(A396&lt;TaxStart,A396&gt;TaxEnd),"Outside tax year",IF(A396&lt;DATE(YEAR(TaxStart),7,6),"Q1",IF(A396&lt;DATE(YEAR(TaxStart),10,6),"Q2",IF(A396&lt;DATE(YEAR(TaxStart)+1,1,6),"Q3","Q4")))))</f>
        <v/>
      </c>
    </row>
    <row r="397">
      <c r="A397" s="8" t="n"/>
      <c r="B397" s="13" t="n"/>
      <c r="C397" s="13" t="n"/>
      <c r="D397" s="13" t="n"/>
      <c r="E397" s="11" t="n"/>
      <c r="F397" s="7">
        <f>IF(A397="","",IF(OR(A397&lt;TaxStart,A397&gt;TaxEnd),"Outside tax year",IF(A397&lt;DATE(YEAR(TaxStart),7,6),"Q1",IF(A397&lt;DATE(YEAR(TaxStart),10,6),"Q2",IF(A397&lt;DATE(YEAR(TaxStart)+1,1,6),"Q3","Q4")))))</f>
        <v/>
      </c>
    </row>
    <row r="398">
      <c r="A398" s="8" t="n"/>
      <c r="B398" s="13" t="n"/>
      <c r="C398" s="13" t="n"/>
      <c r="D398" s="13" t="n"/>
      <c r="E398" s="11" t="n"/>
      <c r="F398" s="7">
        <f>IF(A398="","",IF(OR(A398&lt;TaxStart,A398&gt;TaxEnd),"Outside tax year",IF(A398&lt;DATE(YEAR(TaxStart),7,6),"Q1",IF(A398&lt;DATE(YEAR(TaxStart),10,6),"Q2",IF(A398&lt;DATE(YEAR(TaxStart)+1,1,6),"Q3","Q4")))))</f>
        <v/>
      </c>
    </row>
    <row r="399">
      <c r="A399" s="8" t="n"/>
      <c r="B399" s="13" t="n"/>
      <c r="C399" s="13" t="n"/>
      <c r="D399" s="13" t="n"/>
      <c r="E399" s="11" t="n"/>
      <c r="F399" s="7">
        <f>IF(A399="","",IF(OR(A399&lt;TaxStart,A399&gt;TaxEnd),"Outside tax year",IF(A399&lt;DATE(YEAR(TaxStart),7,6),"Q1",IF(A399&lt;DATE(YEAR(TaxStart),10,6),"Q2",IF(A399&lt;DATE(YEAR(TaxStart)+1,1,6),"Q3","Q4")))))</f>
        <v/>
      </c>
    </row>
    <row r="400">
      <c r="A400" s="8" t="n"/>
      <c r="B400" s="13" t="n"/>
      <c r="C400" s="13" t="n"/>
      <c r="D400" s="13" t="n"/>
      <c r="E400" s="11" t="n"/>
      <c r="F400" s="7">
        <f>IF(A400="","",IF(OR(A400&lt;TaxStart,A400&gt;TaxEnd),"Outside tax year",IF(A400&lt;DATE(YEAR(TaxStart),7,6),"Q1",IF(A400&lt;DATE(YEAR(TaxStart),10,6),"Q2",IF(A400&lt;DATE(YEAR(TaxStart)+1,1,6),"Q3","Q4")))))</f>
        <v/>
      </c>
    </row>
    <row r="401">
      <c r="A401" s="8" t="n"/>
      <c r="B401" s="13" t="n"/>
      <c r="C401" s="13" t="n"/>
      <c r="D401" s="13" t="n"/>
      <c r="E401" s="11" t="n"/>
      <c r="F401" s="7">
        <f>IF(A401="","",IF(OR(A401&lt;TaxStart,A401&gt;TaxEnd),"Outside tax year",IF(A401&lt;DATE(YEAR(TaxStart),7,6),"Q1",IF(A401&lt;DATE(YEAR(TaxStart),10,6),"Q2",IF(A401&lt;DATE(YEAR(TaxStart)+1,1,6),"Q3","Q4")))))</f>
        <v/>
      </c>
    </row>
    <row r="402">
      <c r="A402" s="8" t="n"/>
      <c r="B402" s="13" t="n"/>
      <c r="C402" s="13" t="n"/>
      <c r="D402" s="13" t="n"/>
      <c r="E402" s="11" t="n"/>
      <c r="F402" s="7">
        <f>IF(A402="","",IF(OR(A402&lt;TaxStart,A402&gt;TaxEnd),"Outside tax year",IF(A402&lt;DATE(YEAR(TaxStart),7,6),"Q1",IF(A402&lt;DATE(YEAR(TaxStart),10,6),"Q2",IF(A402&lt;DATE(YEAR(TaxStart)+1,1,6),"Q3","Q4")))))</f>
        <v/>
      </c>
    </row>
    <row r="403">
      <c r="A403" s="8" t="n"/>
      <c r="B403" s="13" t="n"/>
      <c r="C403" s="13" t="n"/>
      <c r="D403" s="13" t="n"/>
      <c r="E403" s="11" t="n"/>
      <c r="F403" s="7">
        <f>IF(A403="","",IF(OR(A403&lt;TaxStart,A403&gt;TaxEnd),"Outside tax year",IF(A403&lt;DATE(YEAR(TaxStart),7,6),"Q1",IF(A403&lt;DATE(YEAR(TaxStart),10,6),"Q2",IF(A403&lt;DATE(YEAR(TaxStart)+1,1,6),"Q3","Q4")))))</f>
        <v/>
      </c>
    </row>
    <row r="404">
      <c r="A404" s="8" t="n"/>
      <c r="B404" s="13" t="n"/>
      <c r="C404" s="13" t="n"/>
      <c r="D404" s="13" t="n"/>
      <c r="E404" s="11" t="n"/>
      <c r="F404" s="7">
        <f>IF(A404="","",IF(OR(A404&lt;TaxStart,A404&gt;TaxEnd),"Outside tax year",IF(A404&lt;DATE(YEAR(TaxStart),7,6),"Q1",IF(A404&lt;DATE(YEAR(TaxStart),10,6),"Q2",IF(A404&lt;DATE(YEAR(TaxStart)+1,1,6),"Q3","Q4")))))</f>
        <v/>
      </c>
    </row>
    <row r="405">
      <c r="A405" s="8" t="n"/>
      <c r="B405" s="13" t="n"/>
      <c r="C405" s="13" t="n"/>
      <c r="D405" s="13" t="n"/>
      <c r="E405" s="11" t="n"/>
      <c r="F405" s="7">
        <f>IF(A405="","",IF(OR(A405&lt;TaxStart,A405&gt;TaxEnd),"Outside tax year",IF(A405&lt;DATE(YEAR(TaxStart),7,6),"Q1",IF(A405&lt;DATE(YEAR(TaxStart),10,6),"Q2",IF(A405&lt;DATE(YEAR(TaxStart)+1,1,6),"Q3","Q4")))))</f>
        <v/>
      </c>
    </row>
    <row r="406">
      <c r="A406" s="8" t="n"/>
      <c r="B406" s="13" t="n"/>
      <c r="C406" s="13" t="n"/>
      <c r="D406" s="13" t="n"/>
      <c r="E406" s="11" t="n"/>
      <c r="F406" s="7">
        <f>IF(A406="","",IF(OR(A406&lt;TaxStart,A406&gt;TaxEnd),"Outside tax year",IF(A406&lt;DATE(YEAR(TaxStart),7,6),"Q1",IF(A406&lt;DATE(YEAR(TaxStart),10,6),"Q2",IF(A406&lt;DATE(YEAR(TaxStart)+1,1,6),"Q3","Q4")))))</f>
        <v/>
      </c>
    </row>
    <row r="407">
      <c r="A407" s="8" t="n"/>
      <c r="B407" s="13" t="n"/>
      <c r="C407" s="13" t="n"/>
      <c r="D407" s="13" t="n"/>
      <c r="E407" s="11" t="n"/>
      <c r="F407" s="7">
        <f>IF(A407="","",IF(OR(A407&lt;TaxStart,A407&gt;TaxEnd),"Outside tax year",IF(A407&lt;DATE(YEAR(TaxStart),7,6),"Q1",IF(A407&lt;DATE(YEAR(TaxStart),10,6),"Q2",IF(A407&lt;DATE(YEAR(TaxStart)+1,1,6),"Q3","Q4")))))</f>
        <v/>
      </c>
    </row>
    <row r="408">
      <c r="A408" s="8" t="n"/>
      <c r="B408" s="13" t="n"/>
      <c r="C408" s="13" t="n"/>
      <c r="D408" s="13" t="n"/>
      <c r="E408" s="11" t="n"/>
      <c r="F408" s="7">
        <f>IF(A408="","",IF(OR(A408&lt;TaxStart,A408&gt;TaxEnd),"Outside tax year",IF(A408&lt;DATE(YEAR(TaxStart),7,6),"Q1",IF(A408&lt;DATE(YEAR(TaxStart),10,6),"Q2",IF(A408&lt;DATE(YEAR(TaxStart)+1,1,6),"Q3","Q4")))))</f>
        <v/>
      </c>
    </row>
    <row r="409">
      <c r="A409" s="8" t="n"/>
      <c r="B409" s="13" t="n"/>
      <c r="C409" s="13" t="n"/>
      <c r="D409" s="13" t="n"/>
      <c r="E409" s="11" t="n"/>
      <c r="F409" s="7">
        <f>IF(A409="","",IF(OR(A409&lt;TaxStart,A409&gt;TaxEnd),"Outside tax year",IF(A409&lt;DATE(YEAR(TaxStart),7,6),"Q1",IF(A409&lt;DATE(YEAR(TaxStart),10,6),"Q2",IF(A409&lt;DATE(YEAR(TaxStart)+1,1,6),"Q3","Q4")))))</f>
        <v/>
      </c>
    </row>
    <row r="410">
      <c r="A410" s="8" t="n"/>
      <c r="B410" s="13" t="n"/>
      <c r="C410" s="13" t="n"/>
      <c r="D410" s="13" t="n"/>
      <c r="E410" s="11" t="n"/>
      <c r="F410" s="7">
        <f>IF(A410="","",IF(OR(A410&lt;TaxStart,A410&gt;TaxEnd),"Outside tax year",IF(A410&lt;DATE(YEAR(TaxStart),7,6),"Q1",IF(A410&lt;DATE(YEAR(TaxStart),10,6),"Q2",IF(A410&lt;DATE(YEAR(TaxStart)+1,1,6),"Q3","Q4")))))</f>
        <v/>
      </c>
    </row>
    <row r="411">
      <c r="A411" s="8" t="n"/>
      <c r="B411" s="13" t="n"/>
      <c r="C411" s="13" t="n"/>
      <c r="D411" s="13" t="n"/>
      <c r="E411" s="11" t="n"/>
      <c r="F411" s="7">
        <f>IF(A411="","",IF(OR(A411&lt;TaxStart,A411&gt;TaxEnd),"Outside tax year",IF(A411&lt;DATE(YEAR(TaxStart),7,6),"Q1",IF(A411&lt;DATE(YEAR(TaxStart),10,6),"Q2",IF(A411&lt;DATE(YEAR(TaxStart)+1,1,6),"Q3","Q4")))))</f>
        <v/>
      </c>
    </row>
    <row r="412">
      <c r="A412" s="8" t="n"/>
      <c r="B412" s="13" t="n"/>
      <c r="C412" s="13" t="n"/>
      <c r="D412" s="13" t="n"/>
      <c r="E412" s="11" t="n"/>
      <c r="F412" s="7">
        <f>IF(A412="","",IF(OR(A412&lt;TaxStart,A412&gt;TaxEnd),"Outside tax year",IF(A412&lt;DATE(YEAR(TaxStart),7,6),"Q1",IF(A412&lt;DATE(YEAR(TaxStart),10,6),"Q2",IF(A412&lt;DATE(YEAR(TaxStart)+1,1,6),"Q3","Q4")))))</f>
        <v/>
      </c>
    </row>
    <row r="413">
      <c r="A413" s="8" t="n"/>
      <c r="B413" s="13" t="n"/>
      <c r="C413" s="13" t="n"/>
      <c r="D413" s="13" t="n"/>
      <c r="E413" s="11" t="n"/>
      <c r="F413" s="7">
        <f>IF(A413="","",IF(OR(A413&lt;TaxStart,A413&gt;TaxEnd),"Outside tax year",IF(A413&lt;DATE(YEAR(TaxStart),7,6),"Q1",IF(A413&lt;DATE(YEAR(TaxStart),10,6),"Q2",IF(A413&lt;DATE(YEAR(TaxStart)+1,1,6),"Q3","Q4")))))</f>
        <v/>
      </c>
    </row>
    <row r="414">
      <c r="A414" s="8" t="n"/>
      <c r="B414" s="13" t="n"/>
      <c r="C414" s="13" t="n"/>
      <c r="D414" s="13" t="n"/>
      <c r="E414" s="11" t="n"/>
      <c r="F414" s="7">
        <f>IF(A414="","",IF(OR(A414&lt;TaxStart,A414&gt;TaxEnd),"Outside tax year",IF(A414&lt;DATE(YEAR(TaxStart),7,6),"Q1",IF(A414&lt;DATE(YEAR(TaxStart),10,6),"Q2",IF(A414&lt;DATE(YEAR(TaxStart)+1,1,6),"Q3","Q4")))))</f>
        <v/>
      </c>
    </row>
    <row r="415">
      <c r="A415" s="8" t="n"/>
      <c r="B415" s="13" t="n"/>
      <c r="C415" s="13" t="n"/>
      <c r="D415" s="13" t="n"/>
      <c r="E415" s="11" t="n"/>
      <c r="F415" s="7">
        <f>IF(A415="","",IF(OR(A415&lt;TaxStart,A415&gt;TaxEnd),"Outside tax year",IF(A415&lt;DATE(YEAR(TaxStart),7,6),"Q1",IF(A415&lt;DATE(YEAR(TaxStart),10,6),"Q2",IF(A415&lt;DATE(YEAR(TaxStart)+1,1,6),"Q3","Q4")))))</f>
        <v/>
      </c>
    </row>
    <row r="416">
      <c r="A416" s="8" t="n"/>
      <c r="B416" s="13" t="n"/>
      <c r="C416" s="13" t="n"/>
      <c r="D416" s="13" t="n"/>
      <c r="E416" s="11" t="n"/>
      <c r="F416" s="7">
        <f>IF(A416="","",IF(OR(A416&lt;TaxStart,A416&gt;TaxEnd),"Outside tax year",IF(A416&lt;DATE(YEAR(TaxStart),7,6),"Q1",IF(A416&lt;DATE(YEAR(TaxStart),10,6),"Q2",IF(A416&lt;DATE(YEAR(TaxStart)+1,1,6),"Q3","Q4")))))</f>
        <v/>
      </c>
    </row>
    <row r="417">
      <c r="A417" s="8" t="n"/>
      <c r="B417" s="13" t="n"/>
      <c r="C417" s="13" t="n"/>
      <c r="D417" s="13" t="n"/>
      <c r="E417" s="11" t="n"/>
      <c r="F417" s="7">
        <f>IF(A417="","",IF(OR(A417&lt;TaxStart,A417&gt;TaxEnd),"Outside tax year",IF(A417&lt;DATE(YEAR(TaxStart),7,6),"Q1",IF(A417&lt;DATE(YEAR(TaxStart),10,6),"Q2",IF(A417&lt;DATE(YEAR(TaxStart)+1,1,6),"Q3","Q4")))))</f>
        <v/>
      </c>
    </row>
    <row r="418">
      <c r="A418" s="8" t="n"/>
      <c r="B418" s="13" t="n"/>
      <c r="C418" s="13" t="n"/>
      <c r="D418" s="13" t="n"/>
      <c r="E418" s="11" t="n"/>
      <c r="F418" s="7">
        <f>IF(A418="","",IF(OR(A418&lt;TaxStart,A418&gt;TaxEnd),"Outside tax year",IF(A418&lt;DATE(YEAR(TaxStart),7,6),"Q1",IF(A418&lt;DATE(YEAR(TaxStart),10,6),"Q2",IF(A418&lt;DATE(YEAR(TaxStart)+1,1,6),"Q3","Q4")))))</f>
        <v/>
      </c>
    </row>
    <row r="419">
      <c r="A419" s="8" t="n"/>
      <c r="B419" s="13" t="n"/>
      <c r="C419" s="13" t="n"/>
      <c r="D419" s="13" t="n"/>
      <c r="E419" s="11" t="n"/>
      <c r="F419" s="7">
        <f>IF(A419="","",IF(OR(A419&lt;TaxStart,A419&gt;TaxEnd),"Outside tax year",IF(A419&lt;DATE(YEAR(TaxStart),7,6),"Q1",IF(A419&lt;DATE(YEAR(TaxStart),10,6),"Q2",IF(A419&lt;DATE(YEAR(TaxStart)+1,1,6),"Q3","Q4")))))</f>
        <v/>
      </c>
    </row>
    <row r="420">
      <c r="A420" s="8" t="n"/>
      <c r="B420" s="13" t="n"/>
      <c r="C420" s="13" t="n"/>
      <c r="D420" s="13" t="n"/>
      <c r="E420" s="11" t="n"/>
      <c r="F420" s="7">
        <f>IF(A420="","",IF(OR(A420&lt;TaxStart,A420&gt;TaxEnd),"Outside tax year",IF(A420&lt;DATE(YEAR(TaxStart),7,6),"Q1",IF(A420&lt;DATE(YEAR(TaxStart),10,6),"Q2",IF(A420&lt;DATE(YEAR(TaxStart)+1,1,6),"Q3","Q4")))))</f>
        <v/>
      </c>
    </row>
    <row r="421">
      <c r="A421" s="8" t="n"/>
      <c r="B421" s="13" t="n"/>
      <c r="C421" s="13" t="n"/>
      <c r="D421" s="13" t="n"/>
      <c r="E421" s="11" t="n"/>
      <c r="F421" s="7">
        <f>IF(A421="","",IF(OR(A421&lt;TaxStart,A421&gt;TaxEnd),"Outside tax year",IF(A421&lt;DATE(YEAR(TaxStart),7,6),"Q1",IF(A421&lt;DATE(YEAR(TaxStart),10,6),"Q2",IF(A421&lt;DATE(YEAR(TaxStart)+1,1,6),"Q3","Q4")))))</f>
        <v/>
      </c>
    </row>
    <row r="422">
      <c r="A422" s="8" t="n"/>
      <c r="B422" s="13" t="n"/>
      <c r="C422" s="13" t="n"/>
      <c r="D422" s="13" t="n"/>
      <c r="E422" s="11" t="n"/>
      <c r="F422" s="7">
        <f>IF(A422="","",IF(OR(A422&lt;TaxStart,A422&gt;TaxEnd),"Outside tax year",IF(A422&lt;DATE(YEAR(TaxStart),7,6),"Q1",IF(A422&lt;DATE(YEAR(TaxStart),10,6),"Q2",IF(A422&lt;DATE(YEAR(TaxStart)+1,1,6),"Q3","Q4")))))</f>
        <v/>
      </c>
    </row>
    <row r="423">
      <c r="A423" s="8" t="n"/>
      <c r="B423" s="13" t="n"/>
      <c r="C423" s="13" t="n"/>
      <c r="D423" s="13" t="n"/>
      <c r="E423" s="11" t="n"/>
      <c r="F423" s="7">
        <f>IF(A423="","",IF(OR(A423&lt;TaxStart,A423&gt;TaxEnd),"Outside tax year",IF(A423&lt;DATE(YEAR(TaxStart),7,6),"Q1",IF(A423&lt;DATE(YEAR(TaxStart),10,6),"Q2",IF(A423&lt;DATE(YEAR(TaxStart)+1,1,6),"Q3","Q4")))))</f>
        <v/>
      </c>
    </row>
    <row r="424">
      <c r="A424" s="8" t="n"/>
      <c r="B424" s="13" t="n"/>
      <c r="C424" s="13" t="n"/>
      <c r="D424" s="13" t="n"/>
      <c r="E424" s="11" t="n"/>
      <c r="F424" s="7">
        <f>IF(A424="","",IF(OR(A424&lt;TaxStart,A424&gt;TaxEnd),"Outside tax year",IF(A424&lt;DATE(YEAR(TaxStart),7,6),"Q1",IF(A424&lt;DATE(YEAR(TaxStart),10,6),"Q2",IF(A424&lt;DATE(YEAR(TaxStart)+1,1,6),"Q3","Q4")))))</f>
        <v/>
      </c>
    </row>
    <row r="425">
      <c r="A425" s="8" t="n"/>
      <c r="B425" s="13" t="n"/>
      <c r="C425" s="13" t="n"/>
      <c r="D425" s="13" t="n"/>
      <c r="E425" s="11" t="n"/>
      <c r="F425" s="7">
        <f>IF(A425="","",IF(OR(A425&lt;TaxStart,A425&gt;TaxEnd),"Outside tax year",IF(A425&lt;DATE(YEAR(TaxStart),7,6),"Q1",IF(A425&lt;DATE(YEAR(TaxStart),10,6),"Q2",IF(A425&lt;DATE(YEAR(TaxStart)+1,1,6),"Q3","Q4")))))</f>
        <v/>
      </c>
    </row>
    <row r="426">
      <c r="A426" s="8" t="n"/>
      <c r="B426" s="13" t="n"/>
      <c r="C426" s="13" t="n"/>
      <c r="D426" s="13" t="n"/>
      <c r="E426" s="11" t="n"/>
      <c r="F426" s="7">
        <f>IF(A426="","",IF(OR(A426&lt;TaxStart,A426&gt;TaxEnd),"Outside tax year",IF(A426&lt;DATE(YEAR(TaxStart),7,6),"Q1",IF(A426&lt;DATE(YEAR(TaxStart),10,6),"Q2",IF(A426&lt;DATE(YEAR(TaxStart)+1,1,6),"Q3","Q4")))))</f>
        <v/>
      </c>
    </row>
    <row r="427">
      <c r="A427" s="8" t="n"/>
      <c r="B427" s="13" t="n"/>
      <c r="C427" s="13" t="n"/>
      <c r="D427" s="13" t="n"/>
      <c r="E427" s="11" t="n"/>
      <c r="F427" s="7">
        <f>IF(A427="","",IF(OR(A427&lt;TaxStart,A427&gt;TaxEnd),"Outside tax year",IF(A427&lt;DATE(YEAR(TaxStart),7,6),"Q1",IF(A427&lt;DATE(YEAR(TaxStart),10,6),"Q2",IF(A427&lt;DATE(YEAR(TaxStart)+1,1,6),"Q3","Q4")))))</f>
        <v/>
      </c>
    </row>
    <row r="428">
      <c r="A428" s="8" t="n"/>
      <c r="B428" s="13" t="n"/>
      <c r="C428" s="13" t="n"/>
      <c r="D428" s="13" t="n"/>
      <c r="E428" s="11" t="n"/>
      <c r="F428" s="7">
        <f>IF(A428="","",IF(OR(A428&lt;TaxStart,A428&gt;TaxEnd),"Outside tax year",IF(A428&lt;DATE(YEAR(TaxStart),7,6),"Q1",IF(A428&lt;DATE(YEAR(TaxStart),10,6),"Q2",IF(A428&lt;DATE(YEAR(TaxStart)+1,1,6),"Q3","Q4")))))</f>
        <v/>
      </c>
    </row>
    <row r="429">
      <c r="A429" s="8" t="n"/>
      <c r="B429" s="13" t="n"/>
      <c r="C429" s="13" t="n"/>
      <c r="D429" s="13" t="n"/>
      <c r="E429" s="11" t="n"/>
      <c r="F429" s="7">
        <f>IF(A429="","",IF(OR(A429&lt;TaxStart,A429&gt;TaxEnd),"Outside tax year",IF(A429&lt;DATE(YEAR(TaxStart),7,6),"Q1",IF(A429&lt;DATE(YEAR(TaxStart),10,6),"Q2",IF(A429&lt;DATE(YEAR(TaxStart)+1,1,6),"Q3","Q4")))))</f>
        <v/>
      </c>
    </row>
    <row r="430">
      <c r="A430" s="8" t="n"/>
      <c r="B430" s="13" t="n"/>
      <c r="C430" s="13" t="n"/>
      <c r="D430" s="13" t="n"/>
      <c r="E430" s="11" t="n"/>
      <c r="F430" s="7">
        <f>IF(A430="","",IF(OR(A430&lt;TaxStart,A430&gt;TaxEnd),"Outside tax year",IF(A430&lt;DATE(YEAR(TaxStart),7,6),"Q1",IF(A430&lt;DATE(YEAR(TaxStart),10,6),"Q2",IF(A430&lt;DATE(YEAR(TaxStart)+1,1,6),"Q3","Q4")))))</f>
        <v/>
      </c>
    </row>
    <row r="431">
      <c r="A431" s="8" t="n"/>
      <c r="B431" s="13" t="n"/>
      <c r="C431" s="13" t="n"/>
      <c r="D431" s="13" t="n"/>
      <c r="E431" s="11" t="n"/>
      <c r="F431" s="7">
        <f>IF(A431="","",IF(OR(A431&lt;TaxStart,A431&gt;TaxEnd),"Outside tax year",IF(A431&lt;DATE(YEAR(TaxStart),7,6),"Q1",IF(A431&lt;DATE(YEAR(TaxStart),10,6),"Q2",IF(A431&lt;DATE(YEAR(TaxStart)+1,1,6),"Q3","Q4")))))</f>
        <v/>
      </c>
    </row>
    <row r="432">
      <c r="A432" s="8" t="n"/>
      <c r="B432" s="13" t="n"/>
      <c r="C432" s="13" t="n"/>
      <c r="D432" s="13" t="n"/>
      <c r="E432" s="11" t="n"/>
      <c r="F432" s="7">
        <f>IF(A432="","",IF(OR(A432&lt;TaxStart,A432&gt;TaxEnd),"Outside tax year",IF(A432&lt;DATE(YEAR(TaxStart),7,6),"Q1",IF(A432&lt;DATE(YEAR(TaxStart),10,6),"Q2",IF(A432&lt;DATE(YEAR(TaxStart)+1,1,6),"Q3","Q4")))))</f>
        <v/>
      </c>
    </row>
    <row r="433">
      <c r="A433" s="8" t="n"/>
      <c r="B433" s="13" t="n"/>
      <c r="C433" s="13" t="n"/>
      <c r="D433" s="13" t="n"/>
      <c r="E433" s="11" t="n"/>
      <c r="F433" s="7">
        <f>IF(A433="","",IF(OR(A433&lt;TaxStart,A433&gt;TaxEnd),"Outside tax year",IF(A433&lt;DATE(YEAR(TaxStart),7,6),"Q1",IF(A433&lt;DATE(YEAR(TaxStart),10,6),"Q2",IF(A433&lt;DATE(YEAR(TaxStart)+1,1,6),"Q3","Q4")))))</f>
        <v/>
      </c>
    </row>
    <row r="434">
      <c r="A434" s="8" t="n"/>
      <c r="B434" s="13" t="n"/>
      <c r="C434" s="13" t="n"/>
      <c r="D434" s="13" t="n"/>
      <c r="E434" s="11" t="n"/>
      <c r="F434" s="7">
        <f>IF(A434="","",IF(OR(A434&lt;TaxStart,A434&gt;TaxEnd),"Outside tax year",IF(A434&lt;DATE(YEAR(TaxStart),7,6),"Q1",IF(A434&lt;DATE(YEAR(TaxStart),10,6),"Q2",IF(A434&lt;DATE(YEAR(TaxStart)+1,1,6),"Q3","Q4")))))</f>
        <v/>
      </c>
    </row>
    <row r="435">
      <c r="A435" s="8" t="n"/>
      <c r="B435" s="13" t="n"/>
      <c r="C435" s="13" t="n"/>
      <c r="D435" s="13" t="n"/>
      <c r="E435" s="11" t="n"/>
      <c r="F435" s="7">
        <f>IF(A435="","",IF(OR(A435&lt;TaxStart,A435&gt;TaxEnd),"Outside tax year",IF(A435&lt;DATE(YEAR(TaxStart),7,6),"Q1",IF(A435&lt;DATE(YEAR(TaxStart),10,6),"Q2",IF(A435&lt;DATE(YEAR(TaxStart)+1,1,6),"Q3","Q4")))))</f>
        <v/>
      </c>
    </row>
    <row r="436">
      <c r="A436" s="8" t="n"/>
      <c r="B436" s="13" t="n"/>
      <c r="C436" s="13" t="n"/>
      <c r="D436" s="13" t="n"/>
      <c r="E436" s="11" t="n"/>
      <c r="F436" s="7">
        <f>IF(A436="","",IF(OR(A436&lt;TaxStart,A436&gt;TaxEnd),"Outside tax year",IF(A436&lt;DATE(YEAR(TaxStart),7,6),"Q1",IF(A436&lt;DATE(YEAR(TaxStart),10,6),"Q2",IF(A436&lt;DATE(YEAR(TaxStart)+1,1,6),"Q3","Q4")))))</f>
        <v/>
      </c>
    </row>
    <row r="437">
      <c r="A437" s="8" t="n"/>
      <c r="B437" s="13" t="n"/>
      <c r="C437" s="13" t="n"/>
      <c r="D437" s="13" t="n"/>
      <c r="E437" s="11" t="n"/>
      <c r="F437" s="7">
        <f>IF(A437="","",IF(OR(A437&lt;TaxStart,A437&gt;TaxEnd),"Outside tax year",IF(A437&lt;DATE(YEAR(TaxStart),7,6),"Q1",IF(A437&lt;DATE(YEAR(TaxStart),10,6),"Q2",IF(A437&lt;DATE(YEAR(TaxStart)+1,1,6),"Q3","Q4")))))</f>
        <v/>
      </c>
    </row>
    <row r="438">
      <c r="A438" s="8" t="n"/>
      <c r="B438" s="13" t="n"/>
      <c r="C438" s="13" t="n"/>
      <c r="D438" s="13" t="n"/>
      <c r="E438" s="11" t="n"/>
      <c r="F438" s="7">
        <f>IF(A438="","",IF(OR(A438&lt;TaxStart,A438&gt;TaxEnd),"Outside tax year",IF(A438&lt;DATE(YEAR(TaxStart),7,6),"Q1",IF(A438&lt;DATE(YEAR(TaxStart),10,6),"Q2",IF(A438&lt;DATE(YEAR(TaxStart)+1,1,6),"Q3","Q4")))))</f>
        <v/>
      </c>
    </row>
    <row r="439">
      <c r="A439" s="8" t="n"/>
      <c r="B439" s="13" t="n"/>
      <c r="C439" s="13" t="n"/>
      <c r="D439" s="13" t="n"/>
      <c r="E439" s="11" t="n"/>
      <c r="F439" s="7">
        <f>IF(A439="","",IF(OR(A439&lt;TaxStart,A439&gt;TaxEnd),"Outside tax year",IF(A439&lt;DATE(YEAR(TaxStart),7,6),"Q1",IF(A439&lt;DATE(YEAR(TaxStart),10,6),"Q2",IF(A439&lt;DATE(YEAR(TaxStart)+1,1,6),"Q3","Q4")))))</f>
        <v/>
      </c>
    </row>
    <row r="440">
      <c r="A440" s="8" t="n"/>
      <c r="B440" s="13" t="n"/>
      <c r="C440" s="13" t="n"/>
      <c r="D440" s="13" t="n"/>
      <c r="E440" s="11" t="n"/>
      <c r="F440" s="7">
        <f>IF(A440="","",IF(OR(A440&lt;TaxStart,A440&gt;TaxEnd),"Outside tax year",IF(A440&lt;DATE(YEAR(TaxStart),7,6),"Q1",IF(A440&lt;DATE(YEAR(TaxStart),10,6),"Q2",IF(A440&lt;DATE(YEAR(TaxStart)+1,1,6),"Q3","Q4")))))</f>
        <v/>
      </c>
    </row>
    <row r="441">
      <c r="A441" s="8" t="n"/>
      <c r="B441" s="13" t="n"/>
      <c r="C441" s="13" t="n"/>
      <c r="D441" s="13" t="n"/>
      <c r="E441" s="11" t="n"/>
      <c r="F441" s="7">
        <f>IF(A441="","",IF(OR(A441&lt;TaxStart,A441&gt;TaxEnd),"Outside tax year",IF(A441&lt;DATE(YEAR(TaxStart),7,6),"Q1",IF(A441&lt;DATE(YEAR(TaxStart),10,6),"Q2",IF(A441&lt;DATE(YEAR(TaxStart)+1,1,6),"Q3","Q4")))))</f>
        <v/>
      </c>
    </row>
    <row r="442">
      <c r="A442" s="8" t="n"/>
      <c r="B442" s="13" t="n"/>
      <c r="C442" s="13" t="n"/>
      <c r="D442" s="13" t="n"/>
      <c r="E442" s="11" t="n"/>
      <c r="F442" s="7">
        <f>IF(A442="","",IF(OR(A442&lt;TaxStart,A442&gt;TaxEnd),"Outside tax year",IF(A442&lt;DATE(YEAR(TaxStart),7,6),"Q1",IF(A442&lt;DATE(YEAR(TaxStart),10,6),"Q2",IF(A442&lt;DATE(YEAR(TaxStart)+1,1,6),"Q3","Q4")))))</f>
        <v/>
      </c>
    </row>
    <row r="443">
      <c r="A443" s="8" t="n"/>
      <c r="B443" s="13" t="n"/>
      <c r="C443" s="13" t="n"/>
      <c r="D443" s="13" t="n"/>
      <c r="E443" s="11" t="n"/>
      <c r="F443" s="7">
        <f>IF(A443="","",IF(OR(A443&lt;TaxStart,A443&gt;TaxEnd),"Outside tax year",IF(A443&lt;DATE(YEAR(TaxStart),7,6),"Q1",IF(A443&lt;DATE(YEAR(TaxStart),10,6),"Q2",IF(A443&lt;DATE(YEAR(TaxStart)+1,1,6),"Q3","Q4")))))</f>
        <v/>
      </c>
    </row>
    <row r="444">
      <c r="A444" s="8" t="n"/>
      <c r="B444" s="13" t="n"/>
      <c r="C444" s="13" t="n"/>
      <c r="D444" s="13" t="n"/>
      <c r="E444" s="11" t="n"/>
      <c r="F444" s="7">
        <f>IF(A444="","",IF(OR(A444&lt;TaxStart,A444&gt;TaxEnd),"Outside tax year",IF(A444&lt;DATE(YEAR(TaxStart),7,6),"Q1",IF(A444&lt;DATE(YEAR(TaxStart),10,6),"Q2",IF(A444&lt;DATE(YEAR(TaxStart)+1,1,6),"Q3","Q4")))))</f>
        <v/>
      </c>
    </row>
    <row r="445">
      <c r="A445" s="8" t="n"/>
      <c r="B445" s="13" t="n"/>
      <c r="C445" s="13" t="n"/>
      <c r="D445" s="13" t="n"/>
      <c r="E445" s="11" t="n"/>
      <c r="F445" s="7">
        <f>IF(A445="","",IF(OR(A445&lt;TaxStart,A445&gt;TaxEnd),"Outside tax year",IF(A445&lt;DATE(YEAR(TaxStart),7,6),"Q1",IF(A445&lt;DATE(YEAR(TaxStart),10,6),"Q2",IF(A445&lt;DATE(YEAR(TaxStart)+1,1,6),"Q3","Q4")))))</f>
        <v/>
      </c>
    </row>
    <row r="446">
      <c r="A446" s="8" t="n"/>
      <c r="B446" s="13" t="n"/>
      <c r="C446" s="13" t="n"/>
      <c r="D446" s="13" t="n"/>
      <c r="E446" s="11" t="n"/>
      <c r="F446" s="7">
        <f>IF(A446="","",IF(OR(A446&lt;TaxStart,A446&gt;TaxEnd),"Outside tax year",IF(A446&lt;DATE(YEAR(TaxStart),7,6),"Q1",IF(A446&lt;DATE(YEAR(TaxStart),10,6),"Q2",IF(A446&lt;DATE(YEAR(TaxStart)+1,1,6),"Q3","Q4")))))</f>
        <v/>
      </c>
    </row>
    <row r="447">
      <c r="A447" s="8" t="n"/>
      <c r="B447" s="13" t="n"/>
      <c r="C447" s="13" t="n"/>
      <c r="D447" s="13" t="n"/>
      <c r="E447" s="11" t="n"/>
      <c r="F447" s="7">
        <f>IF(A447="","",IF(OR(A447&lt;TaxStart,A447&gt;TaxEnd),"Outside tax year",IF(A447&lt;DATE(YEAR(TaxStart),7,6),"Q1",IF(A447&lt;DATE(YEAR(TaxStart),10,6),"Q2",IF(A447&lt;DATE(YEAR(TaxStart)+1,1,6),"Q3","Q4")))))</f>
        <v/>
      </c>
    </row>
    <row r="448">
      <c r="A448" s="8" t="n"/>
      <c r="B448" s="13" t="n"/>
      <c r="C448" s="13" t="n"/>
      <c r="D448" s="13" t="n"/>
      <c r="E448" s="11" t="n"/>
      <c r="F448" s="7">
        <f>IF(A448="","",IF(OR(A448&lt;TaxStart,A448&gt;TaxEnd),"Outside tax year",IF(A448&lt;DATE(YEAR(TaxStart),7,6),"Q1",IF(A448&lt;DATE(YEAR(TaxStart),10,6),"Q2",IF(A448&lt;DATE(YEAR(TaxStart)+1,1,6),"Q3","Q4")))))</f>
        <v/>
      </c>
    </row>
    <row r="449">
      <c r="A449" s="8" t="n"/>
      <c r="B449" s="13" t="n"/>
      <c r="C449" s="13" t="n"/>
      <c r="D449" s="13" t="n"/>
      <c r="E449" s="11" t="n"/>
      <c r="F449" s="7">
        <f>IF(A449="","",IF(OR(A449&lt;TaxStart,A449&gt;TaxEnd),"Outside tax year",IF(A449&lt;DATE(YEAR(TaxStart),7,6),"Q1",IF(A449&lt;DATE(YEAR(TaxStart),10,6),"Q2",IF(A449&lt;DATE(YEAR(TaxStart)+1,1,6),"Q3","Q4")))))</f>
        <v/>
      </c>
    </row>
    <row r="450">
      <c r="A450" s="8" t="n"/>
      <c r="B450" s="13" t="n"/>
      <c r="C450" s="13" t="n"/>
      <c r="D450" s="13" t="n"/>
      <c r="E450" s="11" t="n"/>
      <c r="F450" s="7">
        <f>IF(A450="","",IF(OR(A450&lt;TaxStart,A450&gt;TaxEnd),"Outside tax year",IF(A450&lt;DATE(YEAR(TaxStart),7,6),"Q1",IF(A450&lt;DATE(YEAR(TaxStart),10,6),"Q2",IF(A450&lt;DATE(YEAR(TaxStart)+1,1,6),"Q3","Q4")))))</f>
        <v/>
      </c>
    </row>
    <row r="451">
      <c r="A451" s="8" t="n"/>
      <c r="B451" s="13" t="n"/>
      <c r="C451" s="13" t="n"/>
      <c r="D451" s="13" t="n"/>
      <c r="E451" s="11" t="n"/>
      <c r="F451" s="7">
        <f>IF(A451="","",IF(OR(A451&lt;TaxStart,A451&gt;TaxEnd),"Outside tax year",IF(A451&lt;DATE(YEAR(TaxStart),7,6),"Q1",IF(A451&lt;DATE(YEAR(TaxStart),10,6),"Q2",IF(A451&lt;DATE(YEAR(TaxStart)+1,1,6),"Q3","Q4")))))</f>
        <v/>
      </c>
    </row>
    <row r="452">
      <c r="A452" s="8" t="n"/>
      <c r="B452" s="13" t="n"/>
      <c r="C452" s="13" t="n"/>
      <c r="D452" s="13" t="n"/>
      <c r="E452" s="11" t="n"/>
      <c r="F452" s="7">
        <f>IF(A452="","",IF(OR(A452&lt;TaxStart,A452&gt;TaxEnd),"Outside tax year",IF(A452&lt;DATE(YEAR(TaxStart),7,6),"Q1",IF(A452&lt;DATE(YEAR(TaxStart),10,6),"Q2",IF(A452&lt;DATE(YEAR(TaxStart)+1,1,6),"Q3","Q4")))))</f>
        <v/>
      </c>
    </row>
    <row r="453">
      <c r="A453" s="8" t="n"/>
      <c r="B453" s="13" t="n"/>
      <c r="C453" s="13" t="n"/>
      <c r="D453" s="13" t="n"/>
      <c r="E453" s="11" t="n"/>
      <c r="F453" s="7">
        <f>IF(A453="","",IF(OR(A453&lt;TaxStart,A453&gt;TaxEnd),"Outside tax year",IF(A453&lt;DATE(YEAR(TaxStart),7,6),"Q1",IF(A453&lt;DATE(YEAR(TaxStart),10,6),"Q2",IF(A453&lt;DATE(YEAR(TaxStart)+1,1,6),"Q3","Q4")))))</f>
        <v/>
      </c>
    </row>
    <row r="454">
      <c r="A454" s="8" t="n"/>
      <c r="B454" s="13" t="n"/>
      <c r="C454" s="13" t="n"/>
      <c r="D454" s="13" t="n"/>
      <c r="E454" s="11" t="n"/>
      <c r="F454" s="7">
        <f>IF(A454="","",IF(OR(A454&lt;TaxStart,A454&gt;TaxEnd),"Outside tax year",IF(A454&lt;DATE(YEAR(TaxStart),7,6),"Q1",IF(A454&lt;DATE(YEAR(TaxStart),10,6),"Q2",IF(A454&lt;DATE(YEAR(TaxStart)+1,1,6),"Q3","Q4")))))</f>
        <v/>
      </c>
    </row>
    <row r="455">
      <c r="A455" s="8" t="n"/>
      <c r="B455" s="13" t="n"/>
      <c r="C455" s="13" t="n"/>
      <c r="D455" s="13" t="n"/>
      <c r="E455" s="11" t="n"/>
      <c r="F455" s="7">
        <f>IF(A455="","",IF(OR(A455&lt;TaxStart,A455&gt;TaxEnd),"Outside tax year",IF(A455&lt;DATE(YEAR(TaxStart),7,6),"Q1",IF(A455&lt;DATE(YEAR(TaxStart),10,6),"Q2",IF(A455&lt;DATE(YEAR(TaxStart)+1,1,6),"Q3","Q4")))))</f>
        <v/>
      </c>
    </row>
    <row r="456">
      <c r="A456" s="8" t="n"/>
      <c r="B456" s="13" t="n"/>
      <c r="C456" s="13" t="n"/>
      <c r="D456" s="13" t="n"/>
      <c r="E456" s="11" t="n"/>
      <c r="F456" s="7">
        <f>IF(A456="","",IF(OR(A456&lt;TaxStart,A456&gt;TaxEnd),"Outside tax year",IF(A456&lt;DATE(YEAR(TaxStart),7,6),"Q1",IF(A456&lt;DATE(YEAR(TaxStart),10,6),"Q2",IF(A456&lt;DATE(YEAR(TaxStart)+1,1,6),"Q3","Q4")))))</f>
        <v/>
      </c>
    </row>
    <row r="457">
      <c r="A457" s="8" t="n"/>
      <c r="B457" s="13" t="n"/>
      <c r="C457" s="13" t="n"/>
      <c r="D457" s="13" t="n"/>
      <c r="E457" s="11" t="n"/>
      <c r="F457" s="7">
        <f>IF(A457="","",IF(OR(A457&lt;TaxStart,A457&gt;TaxEnd),"Outside tax year",IF(A457&lt;DATE(YEAR(TaxStart),7,6),"Q1",IF(A457&lt;DATE(YEAR(TaxStart),10,6),"Q2",IF(A457&lt;DATE(YEAR(TaxStart)+1,1,6),"Q3","Q4")))))</f>
        <v/>
      </c>
    </row>
    <row r="458">
      <c r="A458" s="8" t="n"/>
      <c r="B458" s="13" t="n"/>
      <c r="C458" s="13" t="n"/>
      <c r="D458" s="13" t="n"/>
      <c r="E458" s="11" t="n"/>
      <c r="F458" s="7">
        <f>IF(A458="","",IF(OR(A458&lt;TaxStart,A458&gt;TaxEnd),"Outside tax year",IF(A458&lt;DATE(YEAR(TaxStart),7,6),"Q1",IF(A458&lt;DATE(YEAR(TaxStart),10,6),"Q2",IF(A458&lt;DATE(YEAR(TaxStart)+1,1,6),"Q3","Q4")))))</f>
        <v/>
      </c>
    </row>
    <row r="459">
      <c r="A459" s="8" t="n"/>
      <c r="B459" s="13" t="n"/>
      <c r="C459" s="13" t="n"/>
      <c r="D459" s="13" t="n"/>
      <c r="E459" s="11" t="n"/>
      <c r="F459" s="7">
        <f>IF(A459="","",IF(OR(A459&lt;TaxStart,A459&gt;TaxEnd),"Outside tax year",IF(A459&lt;DATE(YEAR(TaxStart),7,6),"Q1",IF(A459&lt;DATE(YEAR(TaxStart),10,6),"Q2",IF(A459&lt;DATE(YEAR(TaxStart)+1,1,6),"Q3","Q4")))))</f>
        <v/>
      </c>
    </row>
    <row r="460">
      <c r="A460" s="8" t="n"/>
      <c r="B460" s="13" t="n"/>
      <c r="C460" s="13" t="n"/>
      <c r="D460" s="13" t="n"/>
      <c r="E460" s="11" t="n"/>
      <c r="F460" s="7">
        <f>IF(A460="","",IF(OR(A460&lt;TaxStart,A460&gt;TaxEnd),"Outside tax year",IF(A460&lt;DATE(YEAR(TaxStart),7,6),"Q1",IF(A460&lt;DATE(YEAR(TaxStart),10,6),"Q2",IF(A460&lt;DATE(YEAR(TaxStart)+1,1,6),"Q3","Q4")))))</f>
        <v/>
      </c>
    </row>
    <row r="461">
      <c r="A461" s="8" t="n"/>
      <c r="B461" s="13" t="n"/>
      <c r="C461" s="13" t="n"/>
      <c r="D461" s="13" t="n"/>
      <c r="E461" s="11" t="n"/>
      <c r="F461" s="7">
        <f>IF(A461="","",IF(OR(A461&lt;TaxStart,A461&gt;TaxEnd),"Outside tax year",IF(A461&lt;DATE(YEAR(TaxStart),7,6),"Q1",IF(A461&lt;DATE(YEAR(TaxStart),10,6),"Q2",IF(A461&lt;DATE(YEAR(TaxStart)+1,1,6),"Q3","Q4")))))</f>
        <v/>
      </c>
    </row>
    <row r="462">
      <c r="A462" s="8" t="n"/>
      <c r="B462" s="13" t="n"/>
      <c r="C462" s="13" t="n"/>
      <c r="D462" s="13" t="n"/>
      <c r="E462" s="11" t="n"/>
      <c r="F462" s="7">
        <f>IF(A462="","",IF(OR(A462&lt;TaxStart,A462&gt;TaxEnd),"Outside tax year",IF(A462&lt;DATE(YEAR(TaxStart),7,6),"Q1",IF(A462&lt;DATE(YEAR(TaxStart),10,6),"Q2",IF(A462&lt;DATE(YEAR(TaxStart)+1,1,6),"Q3","Q4")))))</f>
        <v/>
      </c>
    </row>
    <row r="463">
      <c r="A463" s="8" t="n"/>
      <c r="B463" s="13" t="n"/>
      <c r="C463" s="13" t="n"/>
      <c r="D463" s="13" t="n"/>
      <c r="E463" s="11" t="n"/>
      <c r="F463" s="7">
        <f>IF(A463="","",IF(OR(A463&lt;TaxStart,A463&gt;TaxEnd),"Outside tax year",IF(A463&lt;DATE(YEAR(TaxStart),7,6),"Q1",IF(A463&lt;DATE(YEAR(TaxStart),10,6),"Q2",IF(A463&lt;DATE(YEAR(TaxStart)+1,1,6),"Q3","Q4")))))</f>
        <v/>
      </c>
    </row>
    <row r="464">
      <c r="A464" s="8" t="n"/>
      <c r="B464" s="13" t="n"/>
      <c r="C464" s="13" t="n"/>
      <c r="D464" s="13" t="n"/>
      <c r="E464" s="11" t="n"/>
      <c r="F464" s="7">
        <f>IF(A464="","",IF(OR(A464&lt;TaxStart,A464&gt;TaxEnd),"Outside tax year",IF(A464&lt;DATE(YEAR(TaxStart),7,6),"Q1",IF(A464&lt;DATE(YEAR(TaxStart),10,6),"Q2",IF(A464&lt;DATE(YEAR(TaxStart)+1,1,6),"Q3","Q4")))))</f>
        <v/>
      </c>
    </row>
    <row r="465">
      <c r="A465" s="8" t="n"/>
      <c r="B465" s="13" t="n"/>
      <c r="C465" s="13" t="n"/>
      <c r="D465" s="13" t="n"/>
      <c r="E465" s="11" t="n"/>
      <c r="F465" s="7">
        <f>IF(A465="","",IF(OR(A465&lt;TaxStart,A465&gt;TaxEnd),"Outside tax year",IF(A465&lt;DATE(YEAR(TaxStart),7,6),"Q1",IF(A465&lt;DATE(YEAR(TaxStart),10,6),"Q2",IF(A465&lt;DATE(YEAR(TaxStart)+1,1,6),"Q3","Q4")))))</f>
        <v/>
      </c>
    </row>
    <row r="466">
      <c r="A466" s="8" t="n"/>
      <c r="B466" s="13" t="n"/>
      <c r="C466" s="13" t="n"/>
      <c r="D466" s="13" t="n"/>
      <c r="E466" s="11" t="n"/>
      <c r="F466" s="7">
        <f>IF(A466="","",IF(OR(A466&lt;TaxStart,A466&gt;TaxEnd),"Outside tax year",IF(A466&lt;DATE(YEAR(TaxStart),7,6),"Q1",IF(A466&lt;DATE(YEAR(TaxStart),10,6),"Q2",IF(A466&lt;DATE(YEAR(TaxStart)+1,1,6),"Q3","Q4")))))</f>
        <v/>
      </c>
    </row>
    <row r="467">
      <c r="A467" s="8" t="n"/>
      <c r="B467" s="13" t="n"/>
      <c r="C467" s="13" t="n"/>
      <c r="D467" s="13" t="n"/>
      <c r="E467" s="11" t="n"/>
      <c r="F467" s="7">
        <f>IF(A467="","",IF(OR(A467&lt;TaxStart,A467&gt;TaxEnd),"Outside tax year",IF(A467&lt;DATE(YEAR(TaxStart),7,6),"Q1",IF(A467&lt;DATE(YEAR(TaxStart),10,6),"Q2",IF(A467&lt;DATE(YEAR(TaxStart)+1,1,6),"Q3","Q4")))))</f>
        <v/>
      </c>
    </row>
    <row r="468">
      <c r="A468" s="8" t="n"/>
      <c r="B468" s="13" t="n"/>
      <c r="C468" s="13" t="n"/>
      <c r="D468" s="13" t="n"/>
      <c r="E468" s="11" t="n"/>
      <c r="F468" s="7">
        <f>IF(A468="","",IF(OR(A468&lt;TaxStart,A468&gt;TaxEnd),"Outside tax year",IF(A468&lt;DATE(YEAR(TaxStart),7,6),"Q1",IF(A468&lt;DATE(YEAR(TaxStart),10,6),"Q2",IF(A468&lt;DATE(YEAR(TaxStart)+1,1,6),"Q3","Q4")))))</f>
        <v/>
      </c>
    </row>
    <row r="469">
      <c r="A469" s="8" t="n"/>
      <c r="B469" s="13" t="n"/>
      <c r="C469" s="13" t="n"/>
      <c r="D469" s="13" t="n"/>
      <c r="E469" s="11" t="n"/>
      <c r="F469" s="7">
        <f>IF(A469="","",IF(OR(A469&lt;TaxStart,A469&gt;TaxEnd),"Outside tax year",IF(A469&lt;DATE(YEAR(TaxStart),7,6),"Q1",IF(A469&lt;DATE(YEAR(TaxStart),10,6),"Q2",IF(A469&lt;DATE(YEAR(TaxStart)+1,1,6),"Q3","Q4")))))</f>
        <v/>
      </c>
    </row>
    <row r="470">
      <c r="A470" s="8" t="n"/>
      <c r="B470" s="13" t="n"/>
      <c r="C470" s="13" t="n"/>
      <c r="D470" s="13" t="n"/>
      <c r="E470" s="11" t="n"/>
      <c r="F470" s="7">
        <f>IF(A470="","",IF(OR(A470&lt;TaxStart,A470&gt;TaxEnd),"Outside tax year",IF(A470&lt;DATE(YEAR(TaxStart),7,6),"Q1",IF(A470&lt;DATE(YEAR(TaxStart),10,6),"Q2",IF(A470&lt;DATE(YEAR(TaxStart)+1,1,6),"Q3","Q4")))))</f>
        <v/>
      </c>
    </row>
    <row r="471">
      <c r="A471" s="8" t="n"/>
      <c r="B471" s="13" t="n"/>
      <c r="C471" s="13" t="n"/>
      <c r="D471" s="13" t="n"/>
      <c r="E471" s="11" t="n"/>
      <c r="F471" s="7">
        <f>IF(A471="","",IF(OR(A471&lt;TaxStart,A471&gt;TaxEnd),"Outside tax year",IF(A471&lt;DATE(YEAR(TaxStart),7,6),"Q1",IF(A471&lt;DATE(YEAR(TaxStart),10,6),"Q2",IF(A471&lt;DATE(YEAR(TaxStart)+1,1,6),"Q3","Q4")))))</f>
        <v/>
      </c>
    </row>
    <row r="472">
      <c r="A472" s="8" t="n"/>
      <c r="B472" s="13" t="n"/>
      <c r="C472" s="13" t="n"/>
      <c r="D472" s="13" t="n"/>
      <c r="E472" s="11" t="n"/>
      <c r="F472" s="7">
        <f>IF(A472="","",IF(OR(A472&lt;TaxStart,A472&gt;TaxEnd),"Outside tax year",IF(A472&lt;DATE(YEAR(TaxStart),7,6),"Q1",IF(A472&lt;DATE(YEAR(TaxStart),10,6),"Q2",IF(A472&lt;DATE(YEAR(TaxStart)+1,1,6),"Q3","Q4")))))</f>
        <v/>
      </c>
    </row>
    <row r="473">
      <c r="A473" s="8" t="n"/>
      <c r="B473" s="13" t="n"/>
      <c r="C473" s="13" t="n"/>
      <c r="D473" s="13" t="n"/>
      <c r="E473" s="11" t="n"/>
      <c r="F473" s="7">
        <f>IF(A473="","",IF(OR(A473&lt;TaxStart,A473&gt;TaxEnd),"Outside tax year",IF(A473&lt;DATE(YEAR(TaxStart),7,6),"Q1",IF(A473&lt;DATE(YEAR(TaxStart),10,6),"Q2",IF(A473&lt;DATE(YEAR(TaxStart)+1,1,6),"Q3","Q4")))))</f>
        <v/>
      </c>
    </row>
    <row r="474">
      <c r="A474" s="8" t="n"/>
      <c r="B474" s="13" t="n"/>
      <c r="C474" s="13" t="n"/>
      <c r="D474" s="13" t="n"/>
      <c r="E474" s="11" t="n"/>
      <c r="F474" s="7">
        <f>IF(A474="","",IF(OR(A474&lt;TaxStart,A474&gt;TaxEnd),"Outside tax year",IF(A474&lt;DATE(YEAR(TaxStart),7,6),"Q1",IF(A474&lt;DATE(YEAR(TaxStart),10,6),"Q2",IF(A474&lt;DATE(YEAR(TaxStart)+1,1,6),"Q3","Q4")))))</f>
        <v/>
      </c>
    </row>
    <row r="475">
      <c r="A475" s="8" t="n"/>
      <c r="B475" s="13" t="n"/>
      <c r="C475" s="13" t="n"/>
      <c r="D475" s="13" t="n"/>
      <c r="E475" s="11" t="n"/>
      <c r="F475" s="7">
        <f>IF(A475="","",IF(OR(A475&lt;TaxStart,A475&gt;TaxEnd),"Outside tax year",IF(A475&lt;DATE(YEAR(TaxStart),7,6),"Q1",IF(A475&lt;DATE(YEAR(TaxStart),10,6),"Q2",IF(A475&lt;DATE(YEAR(TaxStart)+1,1,6),"Q3","Q4")))))</f>
        <v/>
      </c>
    </row>
    <row r="476">
      <c r="A476" s="8" t="n"/>
      <c r="B476" s="13" t="n"/>
      <c r="C476" s="13" t="n"/>
      <c r="D476" s="13" t="n"/>
      <c r="E476" s="11" t="n"/>
      <c r="F476" s="7">
        <f>IF(A476="","",IF(OR(A476&lt;TaxStart,A476&gt;TaxEnd),"Outside tax year",IF(A476&lt;DATE(YEAR(TaxStart),7,6),"Q1",IF(A476&lt;DATE(YEAR(TaxStart),10,6),"Q2",IF(A476&lt;DATE(YEAR(TaxStart)+1,1,6),"Q3","Q4")))))</f>
        <v/>
      </c>
    </row>
    <row r="477">
      <c r="A477" s="8" t="n"/>
      <c r="B477" s="13" t="n"/>
      <c r="C477" s="13" t="n"/>
      <c r="D477" s="13" t="n"/>
      <c r="E477" s="11" t="n"/>
      <c r="F477" s="7">
        <f>IF(A477="","",IF(OR(A477&lt;TaxStart,A477&gt;TaxEnd),"Outside tax year",IF(A477&lt;DATE(YEAR(TaxStart),7,6),"Q1",IF(A477&lt;DATE(YEAR(TaxStart),10,6),"Q2",IF(A477&lt;DATE(YEAR(TaxStart)+1,1,6),"Q3","Q4")))))</f>
        <v/>
      </c>
    </row>
    <row r="478">
      <c r="A478" s="8" t="n"/>
      <c r="B478" s="13" t="n"/>
      <c r="C478" s="13" t="n"/>
      <c r="D478" s="13" t="n"/>
      <c r="E478" s="11" t="n"/>
      <c r="F478" s="7">
        <f>IF(A478="","",IF(OR(A478&lt;TaxStart,A478&gt;TaxEnd),"Outside tax year",IF(A478&lt;DATE(YEAR(TaxStart),7,6),"Q1",IF(A478&lt;DATE(YEAR(TaxStart),10,6),"Q2",IF(A478&lt;DATE(YEAR(TaxStart)+1,1,6),"Q3","Q4")))))</f>
        <v/>
      </c>
    </row>
    <row r="479">
      <c r="A479" s="8" t="n"/>
      <c r="B479" s="13" t="n"/>
      <c r="C479" s="13" t="n"/>
      <c r="D479" s="13" t="n"/>
      <c r="E479" s="11" t="n"/>
      <c r="F479" s="7">
        <f>IF(A479="","",IF(OR(A479&lt;TaxStart,A479&gt;TaxEnd),"Outside tax year",IF(A479&lt;DATE(YEAR(TaxStart),7,6),"Q1",IF(A479&lt;DATE(YEAR(TaxStart),10,6),"Q2",IF(A479&lt;DATE(YEAR(TaxStart)+1,1,6),"Q3","Q4")))))</f>
        <v/>
      </c>
    </row>
    <row r="480">
      <c r="A480" s="8" t="n"/>
      <c r="B480" s="13" t="n"/>
      <c r="C480" s="13" t="n"/>
      <c r="D480" s="13" t="n"/>
      <c r="E480" s="11" t="n"/>
      <c r="F480" s="7">
        <f>IF(A480="","",IF(OR(A480&lt;TaxStart,A480&gt;TaxEnd),"Outside tax year",IF(A480&lt;DATE(YEAR(TaxStart),7,6),"Q1",IF(A480&lt;DATE(YEAR(TaxStart),10,6),"Q2",IF(A480&lt;DATE(YEAR(TaxStart)+1,1,6),"Q3","Q4")))))</f>
        <v/>
      </c>
    </row>
    <row r="481">
      <c r="A481" s="8" t="n"/>
      <c r="B481" s="13" t="n"/>
      <c r="C481" s="13" t="n"/>
      <c r="D481" s="13" t="n"/>
      <c r="E481" s="11" t="n"/>
      <c r="F481" s="7">
        <f>IF(A481="","",IF(OR(A481&lt;TaxStart,A481&gt;TaxEnd),"Outside tax year",IF(A481&lt;DATE(YEAR(TaxStart),7,6),"Q1",IF(A481&lt;DATE(YEAR(TaxStart),10,6),"Q2",IF(A481&lt;DATE(YEAR(TaxStart)+1,1,6),"Q3","Q4")))))</f>
        <v/>
      </c>
    </row>
    <row r="482">
      <c r="A482" s="8" t="n"/>
      <c r="B482" s="13" t="n"/>
      <c r="C482" s="13" t="n"/>
      <c r="D482" s="13" t="n"/>
      <c r="E482" s="11" t="n"/>
      <c r="F482" s="7">
        <f>IF(A482="","",IF(OR(A482&lt;TaxStart,A482&gt;TaxEnd),"Outside tax year",IF(A482&lt;DATE(YEAR(TaxStart),7,6),"Q1",IF(A482&lt;DATE(YEAR(TaxStart),10,6),"Q2",IF(A482&lt;DATE(YEAR(TaxStart)+1,1,6),"Q3","Q4")))))</f>
        <v/>
      </c>
    </row>
    <row r="483">
      <c r="A483" s="8" t="n"/>
      <c r="B483" s="13" t="n"/>
      <c r="C483" s="13" t="n"/>
      <c r="D483" s="13" t="n"/>
      <c r="E483" s="11" t="n"/>
      <c r="F483" s="7">
        <f>IF(A483="","",IF(OR(A483&lt;TaxStart,A483&gt;TaxEnd),"Outside tax year",IF(A483&lt;DATE(YEAR(TaxStart),7,6),"Q1",IF(A483&lt;DATE(YEAR(TaxStart),10,6),"Q2",IF(A483&lt;DATE(YEAR(TaxStart)+1,1,6),"Q3","Q4")))))</f>
        <v/>
      </c>
    </row>
    <row r="484">
      <c r="A484" s="8" t="n"/>
      <c r="B484" s="13" t="n"/>
      <c r="C484" s="13" t="n"/>
      <c r="D484" s="13" t="n"/>
      <c r="E484" s="11" t="n"/>
      <c r="F484" s="7">
        <f>IF(A484="","",IF(OR(A484&lt;TaxStart,A484&gt;TaxEnd),"Outside tax year",IF(A484&lt;DATE(YEAR(TaxStart),7,6),"Q1",IF(A484&lt;DATE(YEAR(TaxStart),10,6),"Q2",IF(A484&lt;DATE(YEAR(TaxStart)+1,1,6),"Q3","Q4")))))</f>
        <v/>
      </c>
    </row>
    <row r="485">
      <c r="A485" s="8" t="n"/>
      <c r="B485" s="13" t="n"/>
      <c r="C485" s="13" t="n"/>
      <c r="D485" s="13" t="n"/>
      <c r="E485" s="11" t="n"/>
      <c r="F485" s="7">
        <f>IF(A485="","",IF(OR(A485&lt;TaxStart,A485&gt;TaxEnd),"Outside tax year",IF(A485&lt;DATE(YEAR(TaxStart),7,6),"Q1",IF(A485&lt;DATE(YEAR(TaxStart),10,6),"Q2",IF(A485&lt;DATE(YEAR(TaxStart)+1,1,6),"Q3","Q4")))))</f>
        <v/>
      </c>
    </row>
    <row r="486">
      <c r="A486" s="8" t="n"/>
      <c r="B486" s="13" t="n"/>
      <c r="C486" s="13" t="n"/>
      <c r="D486" s="13" t="n"/>
      <c r="E486" s="11" t="n"/>
      <c r="F486" s="7">
        <f>IF(A486="","",IF(OR(A486&lt;TaxStart,A486&gt;TaxEnd),"Outside tax year",IF(A486&lt;DATE(YEAR(TaxStart),7,6),"Q1",IF(A486&lt;DATE(YEAR(TaxStart),10,6),"Q2",IF(A486&lt;DATE(YEAR(TaxStart)+1,1,6),"Q3","Q4")))))</f>
        <v/>
      </c>
    </row>
    <row r="487">
      <c r="A487" s="8" t="n"/>
      <c r="B487" s="13" t="n"/>
      <c r="C487" s="13" t="n"/>
      <c r="D487" s="13" t="n"/>
      <c r="E487" s="11" t="n"/>
      <c r="F487" s="7">
        <f>IF(A487="","",IF(OR(A487&lt;TaxStart,A487&gt;TaxEnd),"Outside tax year",IF(A487&lt;DATE(YEAR(TaxStart),7,6),"Q1",IF(A487&lt;DATE(YEAR(TaxStart),10,6),"Q2",IF(A487&lt;DATE(YEAR(TaxStart)+1,1,6),"Q3","Q4")))))</f>
        <v/>
      </c>
    </row>
    <row r="488">
      <c r="A488" s="8" t="n"/>
      <c r="B488" s="13" t="n"/>
      <c r="C488" s="13" t="n"/>
      <c r="D488" s="13" t="n"/>
      <c r="E488" s="11" t="n"/>
      <c r="F488" s="7">
        <f>IF(A488="","",IF(OR(A488&lt;TaxStart,A488&gt;TaxEnd),"Outside tax year",IF(A488&lt;DATE(YEAR(TaxStart),7,6),"Q1",IF(A488&lt;DATE(YEAR(TaxStart),10,6),"Q2",IF(A488&lt;DATE(YEAR(TaxStart)+1,1,6),"Q3","Q4")))))</f>
        <v/>
      </c>
    </row>
    <row r="489">
      <c r="A489" s="8" t="n"/>
      <c r="B489" s="13" t="n"/>
      <c r="C489" s="13" t="n"/>
      <c r="D489" s="13" t="n"/>
      <c r="E489" s="11" t="n"/>
      <c r="F489" s="7">
        <f>IF(A489="","",IF(OR(A489&lt;TaxStart,A489&gt;TaxEnd),"Outside tax year",IF(A489&lt;DATE(YEAR(TaxStart),7,6),"Q1",IF(A489&lt;DATE(YEAR(TaxStart),10,6),"Q2",IF(A489&lt;DATE(YEAR(TaxStart)+1,1,6),"Q3","Q4")))))</f>
        <v/>
      </c>
    </row>
    <row r="490">
      <c r="A490" s="8" t="n"/>
      <c r="B490" s="13" t="n"/>
      <c r="C490" s="13" t="n"/>
      <c r="D490" s="13" t="n"/>
      <c r="E490" s="11" t="n"/>
      <c r="F490" s="7">
        <f>IF(A490="","",IF(OR(A490&lt;TaxStart,A490&gt;TaxEnd),"Outside tax year",IF(A490&lt;DATE(YEAR(TaxStart),7,6),"Q1",IF(A490&lt;DATE(YEAR(TaxStart),10,6),"Q2",IF(A490&lt;DATE(YEAR(TaxStart)+1,1,6),"Q3","Q4")))))</f>
        <v/>
      </c>
    </row>
    <row r="491">
      <c r="A491" s="8" t="n"/>
      <c r="B491" s="13" t="n"/>
      <c r="C491" s="13" t="n"/>
      <c r="D491" s="13" t="n"/>
      <c r="E491" s="11" t="n"/>
      <c r="F491" s="7">
        <f>IF(A491="","",IF(OR(A491&lt;TaxStart,A491&gt;TaxEnd),"Outside tax year",IF(A491&lt;DATE(YEAR(TaxStart),7,6),"Q1",IF(A491&lt;DATE(YEAR(TaxStart),10,6),"Q2",IF(A491&lt;DATE(YEAR(TaxStart)+1,1,6),"Q3","Q4")))))</f>
        <v/>
      </c>
    </row>
    <row r="492">
      <c r="A492" s="8" t="n"/>
      <c r="B492" s="13" t="n"/>
      <c r="C492" s="13" t="n"/>
      <c r="D492" s="13" t="n"/>
      <c r="E492" s="11" t="n"/>
      <c r="F492" s="7">
        <f>IF(A492="","",IF(OR(A492&lt;TaxStart,A492&gt;TaxEnd),"Outside tax year",IF(A492&lt;DATE(YEAR(TaxStart),7,6),"Q1",IF(A492&lt;DATE(YEAR(TaxStart),10,6),"Q2",IF(A492&lt;DATE(YEAR(TaxStart)+1,1,6),"Q3","Q4")))))</f>
        <v/>
      </c>
    </row>
    <row r="493">
      <c r="A493" s="8" t="n"/>
      <c r="B493" s="13" t="n"/>
      <c r="C493" s="13" t="n"/>
      <c r="D493" s="13" t="n"/>
      <c r="E493" s="11" t="n"/>
      <c r="F493" s="7">
        <f>IF(A493="","",IF(OR(A493&lt;TaxStart,A493&gt;TaxEnd),"Outside tax year",IF(A493&lt;DATE(YEAR(TaxStart),7,6),"Q1",IF(A493&lt;DATE(YEAR(TaxStart),10,6),"Q2",IF(A493&lt;DATE(YEAR(TaxStart)+1,1,6),"Q3","Q4")))))</f>
        <v/>
      </c>
    </row>
    <row r="494">
      <c r="A494" s="8" t="n"/>
      <c r="B494" s="13" t="n"/>
      <c r="C494" s="13" t="n"/>
      <c r="D494" s="13" t="n"/>
      <c r="E494" s="11" t="n"/>
      <c r="F494" s="7">
        <f>IF(A494="","",IF(OR(A494&lt;TaxStart,A494&gt;TaxEnd),"Outside tax year",IF(A494&lt;DATE(YEAR(TaxStart),7,6),"Q1",IF(A494&lt;DATE(YEAR(TaxStart),10,6),"Q2",IF(A494&lt;DATE(YEAR(TaxStart)+1,1,6),"Q3","Q4")))))</f>
        <v/>
      </c>
    </row>
    <row r="495">
      <c r="A495" s="8" t="n"/>
      <c r="B495" s="13" t="n"/>
      <c r="C495" s="13" t="n"/>
      <c r="D495" s="13" t="n"/>
      <c r="E495" s="11" t="n"/>
      <c r="F495" s="7">
        <f>IF(A495="","",IF(OR(A495&lt;TaxStart,A495&gt;TaxEnd),"Outside tax year",IF(A495&lt;DATE(YEAR(TaxStart),7,6),"Q1",IF(A495&lt;DATE(YEAR(TaxStart),10,6),"Q2",IF(A495&lt;DATE(YEAR(TaxStart)+1,1,6),"Q3","Q4")))))</f>
        <v/>
      </c>
    </row>
    <row r="496">
      <c r="A496" s="8" t="n"/>
      <c r="B496" s="13" t="n"/>
      <c r="C496" s="13" t="n"/>
      <c r="D496" s="13" t="n"/>
      <c r="E496" s="11" t="n"/>
      <c r="F496" s="7">
        <f>IF(A496="","",IF(OR(A496&lt;TaxStart,A496&gt;TaxEnd),"Outside tax year",IF(A496&lt;DATE(YEAR(TaxStart),7,6),"Q1",IF(A496&lt;DATE(YEAR(TaxStart),10,6),"Q2",IF(A496&lt;DATE(YEAR(TaxStart)+1,1,6),"Q3","Q4")))))</f>
        <v/>
      </c>
    </row>
    <row r="497">
      <c r="A497" s="8" t="n"/>
      <c r="B497" s="13" t="n"/>
      <c r="C497" s="13" t="n"/>
      <c r="D497" s="13" t="n"/>
      <c r="E497" s="11" t="n"/>
      <c r="F497" s="7">
        <f>IF(A497="","",IF(OR(A497&lt;TaxStart,A497&gt;TaxEnd),"Outside tax year",IF(A497&lt;DATE(YEAR(TaxStart),7,6),"Q1",IF(A497&lt;DATE(YEAR(TaxStart),10,6),"Q2",IF(A497&lt;DATE(YEAR(TaxStart)+1,1,6),"Q3","Q4")))))</f>
        <v/>
      </c>
    </row>
    <row r="498">
      <c r="A498" s="8" t="n"/>
      <c r="B498" s="13" t="n"/>
      <c r="C498" s="13" t="n"/>
      <c r="D498" s="13" t="n"/>
      <c r="E498" s="11" t="n"/>
      <c r="F498" s="7">
        <f>IF(A498="","",IF(OR(A498&lt;TaxStart,A498&gt;TaxEnd),"Outside tax year",IF(A498&lt;DATE(YEAR(TaxStart),7,6),"Q1",IF(A498&lt;DATE(YEAR(TaxStart),10,6),"Q2",IF(A498&lt;DATE(YEAR(TaxStart)+1,1,6),"Q3","Q4")))))</f>
        <v/>
      </c>
    </row>
    <row r="499">
      <c r="A499" s="8" t="n"/>
      <c r="B499" s="13" t="n"/>
      <c r="C499" s="13" t="n"/>
      <c r="D499" s="13" t="n"/>
      <c r="E499" s="11" t="n"/>
      <c r="F499" s="7">
        <f>IF(A499="","",IF(OR(A499&lt;TaxStart,A499&gt;TaxEnd),"Outside tax year",IF(A499&lt;DATE(YEAR(TaxStart),7,6),"Q1",IF(A499&lt;DATE(YEAR(TaxStart),10,6),"Q2",IF(A499&lt;DATE(YEAR(TaxStart)+1,1,6),"Q3","Q4")))))</f>
        <v/>
      </c>
    </row>
    <row r="500">
      <c r="A500" s="8" t="n"/>
      <c r="B500" s="13" t="n"/>
      <c r="C500" s="13" t="n"/>
      <c r="D500" s="13" t="n"/>
      <c r="E500" s="11" t="n"/>
      <c r="F500" s="7">
        <f>IF(A500="","",IF(OR(A500&lt;TaxStart,A500&gt;TaxEnd),"Outside tax year",IF(A500&lt;DATE(YEAR(TaxStart),7,6),"Q1",IF(A500&lt;DATE(YEAR(TaxStart),10,6),"Q2",IF(A500&lt;DATE(YEAR(TaxStart)+1,1,6),"Q3","Q4")))))</f>
        <v/>
      </c>
    </row>
    <row r="501">
      <c r="A501" s="8" t="n"/>
      <c r="B501" s="13" t="n"/>
      <c r="C501" s="13" t="n"/>
      <c r="D501" s="13" t="n"/>
      <c r="E501" s="11" t="n"/>
      <c r="F501" s="7">
        <f>IF(A501="","",IF(OR(A501&lt;TaxStart,A501&gt;TaxEnd),"Outside tax year",IF(A501&lt;DATE(YEAR(TaxStart),7,6),"Q1",IF(A501&lt;DATE(YEAR(TaxStart),10,6),"Q2",IF(A501&lt;DATE(YEAR(TaxStart)+1,1,6),"Q3","Q4")))))</f>
        <v/>
      </c>
    </row>
    <row r="502">
      <c r="A502" s="8" t="n"/>
      <c r="B502" s="13" t="n"/>
      <c r="C502" s="13" t="n"/>
      <c r="D502" s="13" t="n"/>
      <c r="E502" s="11" t="n"/>
      <c r="F502" s="7">
        <f>IF(A502="","",IF(OR(A502&lt;TaxStart,A502&gt;TaxEnd),"Outside tax year",IF(A502&lt;DATE(YEAR(TaxStart),7,6),"Q1",IF(A502&lt;DATE(YEAR(TaxStart),10,6),"Q2",IF(A502&lt;DATE(YEAR(TaxStart)+1,1,6),"Q3","Q4")))))</f>
        <v/>
      </c>
    </row>
    <row r="503">
      <c r="A503" s="8" t="n"/>
      <c r="B503" s="13" t="n"/>
      <c r="C503" s="13" t="n"/>
      <c r="D503" s="13" t="n"/>
      <c r="E503" s="11" t="n"/>
      <c r="F503" s="7">
        <f>IF(A503="","",IF(OR(A503&lt;TaxStart,A503&gt;TaxEnd),"Outside tax year",IF(A503&lt;DATE(YEAR(TaxStart),7,6),"Q1",IF(A503&lt;DATE(YEAR(TaxStart),10,6),"Q2",IF(A503&lt;DATE(YEAR(TaxStart)+1,1,6),"Q3","Q4")))))</f>
        <v/>
      </c>
    </row>
    <row r="504">
      <c r="A504" s="8" t="n"/>
      <c r="B504" s="13" t="n"/>
      <c r="C504" s="13" t="n"/>
      <c r="D504" s="13" t="n"/>
      <c r="E504" s="11" t="n"/>
      <c r="F504" s="7">
        <f>IF(A504="","",IF(OR(A504&lt;TaxStart,A504&gt;TaxEnd),"Outside tax year",IF(A504&lt;DATE(YEAR(TaxStart),7,6),"Q1",IF(A504&lt;DATE(YEAR(TaxStart),10,6),"Q2",IF(A504&lt;DATE(YEAR(TaxStart)+1,1,6),"Q3","Q4")))))</f>
        <v/>
      </c>
    </row>
    <row r="505">
      <c r="A505" s="8" t="n"/>
      <c r="B505" s="13" t="n"/>
      <c r="C505" s="13" t="n"/>
      <c r="D505" s="13" t="n"/>
      <c r="E505" s="11" t="n"/>
      <c r="F505" s="7">
        <f>IF(A505="","",IF(OR(A505&lt;TaxStart,A505&gt;TaxEnd),"Outside tax year",IF(A505&lt;DATE(YEAR(TaxStart),7,6),"Q1",IF(A505&lt;DATE(YEAR(TaxStart),10,6),"Q2",IF(A505&lt;DATE(YEAR(TaxStart)+1,1,6),"Q3","Q4")))))</f>
        <v/>
      </c>
    </row>
    <row r="506">
      <c r="A506" s="8" t="n"/>
      <c r="B506" s="13" t="n"/>
      <c r="C506" s="13" t="n"/>
      <c r="D506" s="13" t="n"/>
      <c r="E506" s="11" t="n"/>
      <c r="F506" s="7">
        <f>IF(A506="","",IF(OR(A506&lt;TaxStart,A506&gt;TaxEnd),"Outside tax year",IF(A506&lt;DATE(YEAR(TaxStart),7,6),"Q1",IF(A506&lt;DATE(YEAR(TaxStart),10,6),"Q2",IF(A506&lt;DATE(YEAR(TaxStart)+1,1,6),"Q3","Q4")))))</f>
        <v/>
      </c>
    </row>
    <row r="507">
      <c r="A507" s="8" t="n"/>
      <c r="B507" s="13" t="n"/>
      <c r="C507" s="13" t="n"/>
      <c r="D507" s="13" t="n"/>
      <c r="E507" s="11" t="n"/>
      <c r="F507" s="7">
        <f>IF(A507="","",IF(OR(A507&lt;TaxStart,A507&gt;TaxEnd),"Outside tax year",IF(A507&lt;DATE(YEAR(TaxStart),7,6),"Q1",IF(A507&lt;DATE(YEAR(TaxStart),10,6),"Q2",IF(A507&lt;DATE(YEAR(TaxStart)+1,1,6),"Q3","Q4")))))</f>
        <v/>
      </c>
    </row>
    <row r="508">
      <c r="A508" s="8" t="n"/>
      <c r="B508" s="13" t="n"/>
      <c r="C508" s="13" t="n"/>
      <c r="D508" s="13" t="n"/>
      <c r="E508" s="11" t="n"/>
      <c r="F508" s="7">
        <f>IF(A508="","",IF(OR(A508&lt;TaxStart,A508&gt;TaxEnd),"Outside tax year",IF(A508&lt;DATE(YEAR(TaxStart),7,6),"Q1",IF(A508&lt;DATE(YEAR(TaxStart),10,6),"Q2",IF(A508&lt;DATE(YEAR(TaxStart)+1,1,6),"Q3","Q4")))))</f>
        <v/>
      </c>
    </row>
    <row r="509">
      <c r="A509" s="8" t="n"/>
      <c r="B509" s="13" t="n"/>
      <c r="C509" s="13" t="n"/>
      <c r="D509" s="13" t="n"/>
      <c r="E509" s="11" t="n"/>
      <c r="F509" s="7">
        <f>IF(A509="","",IF(OR(A509&lt;TaxStart,A509&gt;TaxEnd),"Outside tax year",IF(A509&lt;DATE(YEAR(TaxStart),7,6),"Q1",IF(A509&lt;DATE(YEAR(TaxStart),10,6),"Q2",IF(A509&lt;DATE(YEAR(TaxStart)+1,1,6),"Q3","Q4")))))</f>
        <v/>
      </c>
    </row>
    <row r="510">
      <c r="A510" s="8" t="n"/>
      <c r="B510" s="13" t="n"/>
      <c r="C510" s="13" t="n"/>
      <c r="D510" s="13" t="n"/>
      <c r="E510" s="11" t="n"/>
      <c r="F510" s="7">
        <f>IF(A510="","",IF(OR(A510&lt;TaxStart,A510&gt;TaxEnd),"Outside tax year",IF(A510&lt;DATE(YEAR(TaxStart),7,6),"Q1",IF(A510&lt;DATE(YEAR(TaxStart),10,6),"Q2",IF(A510&lt;DATE(YEAR(TaxStart)+1,1,6),"Q3","Q4")))))</f>
        <v/>
      </c>
    </row>
    <row r="511">
      <c r="A511" s="8" t="n"/>
      <c r="B511" s="13" t="n"/>
      <c r="C511" s="13" t="n"/>
      <c r="D511" s="13" t="n"/>
      <c r="E511" s="11" t="n"/>
      <c r="F511" s="7">
        <f>IF(A511="","",IF(OR(A511&lt;TaxStart,A511&gt;TaxEnd),"Outside tax year",IF(A511&lt;DATE(YEAR(TaxStart),7,6),"Q1",IF(A511&lt;DATE(YEAR(TaxStart),10,6),"Q2",IF(A511&lt;DATE(YEAR(TaxStart)+1,1,6),"Q3","Q4")))))</f>
        <v/>
      </c>
    </row>
    <row r="512">
      <c r="A512" s="8" t="n"/>
      <c r="B512" s="13" t="n"/>
      <c r="C512" s="13" t="n"/>
      <c r="D512" s="13" t="n"/>
      <c r="E512" s="11" t="n"/>
      <c r="F512" s="7">
        <f>IF(A512="","",IF(OR(A512&lt;TaxStart,A512&gt;TaxEnd),"Outside tax year",IF(A512&lt;DATE(YEAR(TaxStart),7,6),"Q1",IF(A512&lt;DATE(YEAR(TaxStart),10,6),"Q2",IF(A512&lt;DATE(YEAR(TaxStart)+1,1,6),"Q3","Q4")))))</f>
        <v/>
      </c>
    </row>
    <row r="513">
      <c r="A513" s="8" t="n"/>
      <c r="B513" s="13" t="n"/>
      <c r="C513" s="13" t="n"/>
      <c r="D513" s="13" t="n"/>
      <c r="E513" s="11" t="n"/>
      <c r="F513" s="7">
        <f>IF(A513="","",IF(OR(A513&lt;TaxStart,A513&gt;TaxEnd),"Outside tax year",IF(A513&lt;DATE(YEAR(TaxStart),7,6),"Q1",IF(A513&lt;DATE(YEAR(TaxStart),10,6),"Q2",IF(A513&lt;DATE(YEAR(TaxStart)+1,1,6),"Q3","Q4")))))</f>
        <v/>
      </c>
    </row>
    <row r="514">
      <c r="A514" s="8" t="n"/>
      <c r="B514" s="13" t="n"/>
      <c r="C514" s="13" t="n"/>
      <c r="D514" s="13" t="n"/>
      <c r="E514" s="11" t="n"/>
      <c r="F514" s="7">
        <f>IF(A514="","",IF(OR(A514&lt;TaxStart,A514&gt;TaxEnd),"Outside tax year",IF(A514&lt;DATE(YEAR(TaxStart),7,6),"Q1",IF(A514&lt;DATE(YEAR(TaxStart),10,6),"Q2",IF(A514&lt;DATE(YEAR(TaxStart)+1,1,6),"Q3","Q4")))))</f>
        <v/>
      </c>
    </row>
    <row r="515">
      <c r="A515" s="8" t="n"/>
      <c r="B515" s="13" t="n"/>
      <c r="C515" s="13" t="n"/>
      <c r="D515" s="13" t="n"/>
      <c r="E515" s="11" t="n"/>
      <c r="F515" s="7">
        <f>IF(A515="","",IF(OR(A515&lt;TaxStart,A515&gt;TaxEnd),"Outside tax year",IF(A515&lt;DATE(YEAR(TaxStart),7,6),"Q1",IF(A515&lt;DATE(YEAR(TaxStart),10,6),"Q2",IF(A515&lt;DATE(YEAR(TaxStart)+1,1,6),"Q3","Q4")))))</f>
        <v/>
      </c>
    </row>
    <row r="516">
      <c r="A516" s="8" t="n"/>
      <c r="B516" s="13" t="n"/>
      <c r="C516" s="13" t="n"/>
      <c r="D516" s="13" t="n"/>
      <c r="E516" s="11" t="n"/>
      <c r="F516" s="7">
        <f>IF(A516="","",IF(OR(A516&lt;TaxStart,A516&gt;TaxEnd),"Outside tax year",IF(A516&lt;DATE(YEAR(TaxStart),7,6),"Q1",IF(A516&lt;DATE(YEAR(TaxStart),10,6),"Q2",IF(A516&lt;DATE(YEAR(TaxStart)+1,1,6),"Q3","Q4")))))</f>
        <v/>
      </c>
    </row>
    <row r="517">
      <c r="A517" s="8" t="n"/>
      <c r="B517" s="13" t="n"/>
      <c r="C517" s="13" t="n"/>
      <c r="D517" s="13" t="n"/>
      <c r="E517" s="11" t="n"/>
      <c r="F517" s="7">
        <f>IF(A517="","",IF(OR(A517&lt;TaxStart,A517&gt;TaxEnd),"Outside tax year",IF(A517&lt;DATE(YEAR(TaxStart),7,6),"Q1",IF(A517&lt;DATE(YEAR(TaxStart),10,6),"Q2",IF(A517&lt;DATE(YEAR(TaxStart)+1,1,6),"Q3","Q4")))))</f>
        <v/>
      </c>
    </row>
    <row r="518">
      <c r="A518" s="8" t="n"/>
      <c r="B518" s="13" t="n"/>
      <c r="C518" s="13" t="n"/>
      <c r="D518" s="13" t="n"/>
      <c r="E518" s="11" t="n"/>
      <c r="F518" s="7">
        <f>IF(A518="","",IF(OR(A518&lt;TaxStart,A518&gt;TaxEnd),"Outside tax year",IF(A518&lt;DATE(YEAR(TaxStart),7,6),"Q1",IF(A518&lt;DATE(YEAR(TaxStart),10,6),"Q2",IF(A518&lt;DATE(YEAR(TaxStart)+1,1,6),"Q3","Q4")))))</f>
        <v/>
      </c>
    </row>
    <row r="519">
      <c r="A519" s="8" t="n"/>
      <c r="B519" s="13" t="n"/>
      <c r="C519" s="13" t="n"/>
      <c r="D519" s="13" t="n"/>
      <c r="E519" s="11" t="n"/>
      <c r="F519" s="7">
        <f>IF(A519="","",IF(OR(A519&lt;TaxStart,A519&gt;TaxEnd),"Outside tax year",IF(A519&lt;DATE(YEAR(TaxStart),7,6),"Q1",IF(A519&lt;DATE(YEAR(TaxStart),10,6),"Q2",IF(A519&lt;DATE(YEAR(TaxStart)+1,1,6),"Q3","Q4")))))</f>
        <v/>
      </c>
    </row>
    <row r="520">
      <c r="A520" s="8" t="n"/>
      <c r="B520" s="13" t="n"/>
      <c r="C520" s="13" t="n"/>
      <c r="D520" s="13" t="n"/>
      <c r="E520" s="11" t="n"/>
      <c r="F520" s="7">
        <f>IF(A520="","",IF(OR(A520&lt;TaxStart,A520&gt;TaxEnd),"Outside tax year",IF(A520&lt;DATE(YEAR(TaxStart),7,6),"Q1",IF(A520&lt;DATE(YEAR(TaxStart),10,6),"Q2",IF(A520&lt;DATE(YEAR(TaxStart)+1,1,6),"Q3","Q4")))))</f>
        <v/>
      </c>
    </row>
    <row r="521">
      <c r="A521" s="8" t="n"/>
      <c r="B521" s="13" t="n"/>
      <c r="C521" s="13" t="n"/>
      <c r="D521" s="13" t="n"/>
      <c r="E521" s="11" t="n"/>
      <c r="F521" s="7">
        <f>IF(A521="","",IF(OR(A521&lt;TaxStart,A521&gt;TaxEnd),"Outside tax year",IF(A521&lt;DATE(YEAR(TaxStart),7,6),"Q1",IF(A521&lt;DATE(YEAR(TaxStart),10,6),"Q2",IF(A521&lt;DATE(YEAR(TaxStart)+1,1,6),"Q3","Q4")))))</f>
        <v/>
      </c>
    </row>
    <row r="522">
      <c r="A522" s="8" t="n"/>
      <c r="B522" s="13" t="n"/>
      <c r="C522" s="13" t="n"/>
      <c r="D522" s="13" t="n"/>
      <c r="E522" s="11" t="n"/>
      <c r="F522" s="7">
        <f>IF(A522="","",IF(OR(A522&lt;TaxStart,A522&gt;TaxEnd),"Outside tax year",IF(A522&lt;DATE(YEAR(TaxStart),7,6),"Q1",IF(A522&lt;DATE(YEAR(TaxStart),10,6),"Q2",IF(A522&lt;DATE(YEAR(TaxStart)+1,1,6),"Q3","Q4")))))</f>
        <v/>
      </c>
    </row>
    <row r="523">
      <c r="A523" s="8" t="n"/>
      <c r="B523" s="13" t="n"/>
      <c r="C523" s="13" t="n"/>
      <c r="D523" s="13" t="n"/>
      <c r="E523" s="11" t="n"/>
      <c r="F523" s="7">
        <f>IF(A523="","",IF(OR(A523&lt;TaxStart,A523&gt;TaxEnd),"Outside tax year",IF(A523&lt;DATE(YEAR(TaxStart),7,6),"Q1",IF(A523&lt;DATE(YEAR(TaxStart),10,6),"Q2",IF(A523&lt;DATE(YEAR(TaxStart)+1,1,6),"Q3","Q4")))))</f>
        <v/>
      </c>
    </row>
    <row r="524">
      <c r="A524" s="8" t="n"/>
      <c r="B524" s="13" t="n"/>
      <c r="C524" s="13" t="n"/>
      <c r="D524" s="13" t="n"/>
      <c r="E524" s="11" t="n"/>
      <c r="F524" s="7">
        <f>IF(A524="","",IF(OR(A524&lt;TaxStart,A524&gt;TaxEnd),"Outside tax year",IF(A524&lt;DATE(YEAR(TaxStart),7,6),"Q1",IF(A524&lt;DATE(YEAR(TaxStart),10,6),"Q2",IF(A524&lt;DATE(YEAR(TaxStart)+1,1,6),"Q3","Q4")))))</f>
        <v/>
      </c>
    </row>
    <row r="525">
      <c r="A525" s="8" t="n"/>
      <c r="B525" s="13" t="n"/>
      <c r="C525" s="13" t="n"/>
      <c r="D525" s="13" t="n"/>
      <c r="E525" s="11" t="n"/>
      <c r="F525" s="7">
        <f>IF(A525="","",IF(OR(A525&lt;TaxStart,A525&gt;TaxEnd),"Outside tax year",IF(A525&lt;DATE(YEAR(TaxStart),7,6),"Q1",IF(A525&lt;DATE(YEAR(TaxStart),10,6),"Q2",IF(A525&lt;DATE(YEAR(TaxStart)+1,1,6),"Q3","Q4")))))</f>
        <v/>
      </c>
    </row>
    <row r="526">
      <c r="A526" s="8" t="n"/>
      <c r="B526" s="13" t="n"/>
      <c r="C526" s="13" t="n"/>
      <c r="D526" s="13" t="n"/>
      <c r="E526" s="11" t="n"/>
      <c r="F526" s="7">
        <f>IF(A526="","",IF(OR(A526&lt;TaxStart,A526&gt;TaxEnd),"Outside tax year",IF(A526&lt;DATE(YEAR(TaxStart),7,6),"Q1",IF(A526&lt;DATE(YEAR(TaxStart),10,6),"Q2",IF(A526&lt;DATE(YEAR(TaxStart)+1,1,6),"Q3","Q4")))))</f>
        <v/>
      </c>
    </row>
    <row r="527">
      <c r="A527" s="8" t="n"/>
      <c r="B527" s="13" t="n"/>
      <c r="C527" s="13" t="n"/>
      <c r="D527" s="13" t="n"/>
      <c r="E527" s="11" t="n"/>
      <c r="F527" s="7">
        <f>IF(A527="","",IF(OR(A527&lt;TaxStart,A527&gt;TaxEnd),"Outside tax year",IF(A527&lt;DATE(YEAR(TaxStart),7,6),"Q1",IF(A527&lt;DATE(YEAR(TaxStart),10,6),"Q2",IF(A527&lt;DATE(YEAR(TaxStart)+1,1,6),"Q3","Q4")))))</f>
        <v/>
      </c>
    </row>
    <row r="528">
      <c r="A528" s="8" t="n"/>
      <c r="B528" s="13" t="n"/>
      <c r="C528" s="13" t="n"/>
      <c r="D528" s="13" t="n"/>
      <c r="E528" s="11" t="n"/>
      <c r="F528" s="7">
        <f>IF(A528="","",IF(OR(A528&lt;TaxStart,A528&gt;TaxEnd),"Outside tax year",IF(A528&lt;DATE(YEAR(TaxStart),7,6),"Q1",IF(A528&lt;DATE(YEAR(TaxStart),10,6),"Q2",IF(A528&lt;DATE(YEAR(TaxStart)+1,1,6),"Q3","Q4")))))</f>
        <v/>
      </c>
    </row>
    <row r="529">
      <c r="A529" s="8" t="n"/>
      <c r="B529" s="13" t="n"/>
      <c r="C529" s="13" t="n"/>
      <c r="D529" s="13" t="n"/>
      <c r="E529" s="11" t="n"/>
      <c r="F529" s="7">
        <f>IF(A529="","",IF(OR(A529&lt;TaxStart,A529&gt;TaxEnd),"Outside tax year",IF(A529&lt;DATE(YEAR(TaxStart),7,6),"Q1",IF(A529&lt;DATE(YEAR(TaxStart),10,6),"Q2",IF(A529&lt;DATE(YEAR(TaxStart)+1,1,6),"Q3","Q4")))))</f>
        <v/>
      </c>
    </row>
    <row r="530">
      <c r="A530" s="8" t="n"/>
      <c r="B530" s="13" t="n"/>
      <c r="C530" s="13" t="n"/>
      <c r="D530" s="13" t="n"/>
      <c r="E530" s="11" t="n"/>
      <c r="F530" s="7">
        <f>IF(A530="","",IF(OR(A530&lt;TaxStart,A530&gt;TaxEnd),"Outside tax year",IF(A530&lt;DATE(YEAR(TaxStart),7,6),"Q1",IF(A530&lt;DATE(YEAR(TaxStart),10,6),"Q2",IF(A530&lt;DATE(YEAR(TaxStart)+1,1,6),"Q3","Q4")))))</f>
        <v/>
      </c>
    </row>
    <row r="531">
      <c r="A531" s="8" t="n"/>
      <c r="B531" s="13" t="n"/>
      <c r="C531" s="13" t="n"/>
      <c r="D531" s="13" t="n"/>
      <c r="E531" s="11" t="n"/>
      <c r="F531" s="7">
        <f>IF(A531="","",IF(OR(A531&lt;TaxStart,A531&gt;TaxEnd),"Outside tax year",IF(A531&lt;DATE(YEAR(TaxStart),7,6),"Q1",IF(A531&lt;DATE(YEAR(TaxStart),10,6),"Q2",IF(A531&lt;DATE(YEAR(TaxStart)+1,1,6),"Q3","Q4")))))</f>
        <v/>
      </c>
    </row>
    <row r="532">
      <c r="A532" s="8" t="n"/>
      <c r="B532" s="13" t="n"/>
      <c r="C532" s="13" t="n"/>
      <c r="D532" s="13" t="n"/>
      <c r="E532" s="11" t="n"/>
      <c r="F532" s="7">
        <f>IF(A532="","",IF(OR(A532&lt;TaxStart,A532&gt;TaxEnd),"Outside tax year",IF(A532&lt;DATE(YEAR(TaxStart),7,6),"Q1",IF(A532&lt;DATE(YEAR(TaxStart),10,6),"Q2",IF(A532&lt;DATE(YEAR(TaxStart)+1,1,6),"Q3","Q4")))))</f>
        <v/>
      </c>
    </row>
    <row r="533">
      <c r="A533" s="8" t="n"/>
      <c r="B533" s="13" t="n"/>
      <c r="C533" s="13" t="n"/>
      <c r="D533" s="13" t="n"/>
      <c r="E533" s="11" t="n"/>
      <c r="F533" s="7">
        <f>IF(A533="","",IF(OR(A533&lt;TaxStart,A533&gt;TaxEnd),"Outside tax year",IF(A533&lt;DATE(YEAR(TaxStart),7,6),"Q1",IF(A533&lt;DATE(YEAR(TaxStart),10,6),"Q2",IF(A533&lt;DATE(YEAR(TaxStart)+1,1,6),"Q3","Q4")))))</f>
        <v/>
      </c>
    </row>
    <row r="534">
      <c r="A534" s="8" t="n"/>
      <c r="B534" s="13" t="n"/>
      <c r="C534" s="13" t="n"/>
      <c r="D534" s="13" t="n"/>
      <c r="E534" s="11" t="n"/>
      <c r="F534" s="7">
        <f>IF(A534="","",IF(OR(A534&lt;TaxStart,A534&gt;TaxEnd),"Outside tax year",IF(A534&lt;DATE(YEAR(TaxStart),7,6),"Q1",IF(A534&lt;DATE(YEAR(TaxStart),10,6),"Q2",IF(A534&lt;DATE(YEAR(TaxStart)+1,1,6),"Q3","Q4")))))</f>
        <v/>
      </c>
    </row>
    <row r="535">
      <c r="A535" s="8" t="n"/>
      <c r="B535" s="13" t="n"/>
      <c r="C535" s="13" t="n"/>
      <c r="D535" s="13" t="n"/>
      <c r="E535" s="11" t="n"/>
      <c r="F535" s="7">
        <f>IF(A535="","",IF(OR(A535&lt;TaxStart,A535&gt;TaxEnd),"Outside tax year",IF(A535&lt;DATE(YEAR(TaxStart),7,6),"Q1",IF(A535&lt;DATE(YEAR(TaxStart),10,6),"Q2",IF(A535&lt;DATE(YEAR(TaxStart)+1,1,6),"Q3","Q4")))))</f>
        <v/>
      </c>
    </row>
    <row r="536">
      <c r="A536" s="8" t="n"/>
      <c r="B536" s="13" t="n"/>
      <c r="C536" s="13" t="n"/>
      <c r="D536" s="13" t="n"/>
      <c r="E536" s="11" t="n"/>
      <c r="F536" s="7">
        <f>IF(A536="","",IF(OR(A536&lt;TaxStart,A536&gt;TaxEnd),"Outside tax year",IF(A536&lt;DATE(YEAR(TaxStart),7,6),"Q1",IF(A536&lt;DATE(YEAR(TaxStart),10,6),"Q2",IF(A536&lt;DATE(YEAR(TaxStart)+1,1,6),"Q3","Q4")))))</f>
        <v/>
      </c>
    </row>
    <row r="537">
      <c r="A537" s="8" t="n"/>
      <c r="B537" s="13" t="n"/>
      <c r="C537" s="13" t="n"/>
      <c r="D537" s="13" t="n"/>
      <c r="E537" s="11" t="n"/>
      <c r="F537" s="7">
        <f>IF(A537="","",IF(OR(A537&lt;TaxStart,A537&gt;TaxEnd),"Outside tax year",IF(A537&lt;DATE(YEAR(TaxStart),7,6),"Q1",IF(A537&lt;DATE(YEAR(TaxStart),10,6),"Q2",IF(A537&lt;DATE(YEAR(TaxStart)+1,1,6),"Q3","Q4")))))</f>
        <v/>
      </c>
    </row>
    <row r="538">
      <c r="A538" s="8" t="n"/>
      <c r="B538" s="13" t="n"/>
      <c r="C538" s="13" t="n"/>
      <c r="D538" s="13" t="n"/>
      <c r="E538" s="11" t="n"/>
      <c r="F538" s="7">
        <f>IF(A538="","",IF(OR(A538&lt;TaxStart,A538&gt;TaxEnd),"Outside tax year",IF(A538&lt;DATE(YEAR(TaxStart),7,6),"Q1",IF(A538&lt;DATE(YEAR(TaxStart),10,6),"Q2",IF(A538&lt;DATE(YEAR(TaxStart)+1,1,6),"Q3","Q4")))))</f>
        <v/>
      </c>
    </row>
    <row r="539">
      <c r="A539" s="8" t="n"/>
      <c r="B539" s="13" t="n"/>
      <c r="C539" s="13" t="n"/>
      <c r="D539" s="13" t="n"/>
      <c r="E539" s="11" t="n"/>
      <c r="F539" s="7">
        <f>IF(A539="","",IF(OR(A539&lt;TaxStart,A539&gt;TaxEnd),"Outside tax year",IF(A539&lt;DATE(YEAR(TaxStart),7,6),"Q1",IF(A539&lt;DATE(YEAR(TaxStart),10,6),"Q2",IF(A539&lt;DATE(YEAR(TaxStart)+1,1,6),"Q3","Q4")))))</f>
        <v/>
      </c>
    </row>
    <row r="540">
      <c r="A540" s="8" t="n"/>
      <c r="B540" s="13" t="n"/>
      <c r="C540" s="13" t="n"/>
      <c r="D540" s="13" t="n"/>
      <c r="E540" s="11" t="n"/>
      <c r="F540" s="7">
        <f>IF(A540="","",IF(OR(A540&lt;TaxStart,A540&gt;TaxEnd),"Outside tax year",IF(A540&lt;DATE(YEAR(TaxStart),7,6),"Q1",IF(A540&lt;DATE(YEAR(TaxStart),10,6),"Q2",IF(A540&lt;DATE(YEAR(TaxStart)+1,1,6),"Q3","Q4")))))</f>
        <v/>
      </c>
    </row>
    <row r="541">
      <c r="A541" s="8" t="n"/>
      <c r="B541" s="13" t="n"/>
      <c r="C541" s="13" t="n"/>
      <c r="D541" s="13" t="n"/>
      <c r="E541" s="11" t="n"/>
      <c r="F541" s="7">
        <f>IF(A541="","",IF(OR(A541&lt;TaxStart,A541&gt;TaxEnd),"Outside tax year",IF(A541&lt;DATE(YEAR(TaxStart),7,6),"Q1",IF(A541&lt;DATE(YEAR(TaxStart),10,6),"Q2",IF(A541&lt;DATE(YEAR(TaxStart)+1,1,6),"Q3","Q4")))))</f>
        <v/>
      </c>
    </row>
    <row r="542">
      <c r="A542" s="8" t="n"/>
      <c r="B542" s="13" t="n"/>
      <c r="C542" s="13" t="n"/>
      <c r="D542" s="13" t="n"/>
      <c r="E542" s="11" t="n"/>
      <c r="F542" s="7">
        <f>IF(A542="","",IF(OR(A542&lt;TaxStart,A542&gt;TaxEnd),"Outside tax year",IF(A542&lt;DATE(YEAR(TaxStart),7,6),"Q1",IF(A542&lt;DATE(YEAR(TaxStart),10,6),"Q2",IF(A542&lt;DATE(YEAR(TaxStart)+1,1,6),"Q3","Q4")))))</f>
        <v/>
      </c>
    </row>
    <row r="543">
      <c r="A543" s="8" t="n"/>
      <c r="B543" s="13" t="n"/>
      <c r="C543" s="13" t="n"/>
      <c r="D543" s="13" t="n"/>
      <c r="E543" s="11" t="n"/>
      <c r="F543" s="7">
        <f>IF(A543="","",IF(OR(A543&lt;TaxStart,A543&gt;TaxEnd),"Outside tax year",IF(A543&lt;DATE(YEAR(TaxStart),7,6),"Q1",IF(A543&lt;DATE(YEAR(TaxStart),10,6),"Q2",IF(A543&lt;DATE(YEAR(TaxStart)+1,1,6),"Q3","Q4")))))</f>
        <v/>
      </c>
    </row>
    <row r="544">
      <c r="A544" s="8" t="n"/>
      <c r="B544" s="13" t="n"/>
      <c r="C544" s="13" t="n"/>
      <c r="D544" s="13" t="n"/>
      <c r="E544" s="11" t="n"/>
      <c r="F544" s="7">
        <f>IF(A544="","",IF(OR(A544&lt;TaxStart,A544&gt;TaxEnd),"Outside tax year",IF(A544&lt;DATE(YEAR(TaxStart),7,6),"Q1",IF(A544&lt;DATE(YEAR(TaxStart),10,6),"Q2",IF(A544&lt;DATE(YEAR(TaxStart)+1,1,6),"Q3","Q4")))))</f>
        <v/>
      </c>
    </row>
    <row r="545">
      <c r="A545" s="8" t="n"/>
      <c r="B545" s="13" t="n"/>
      <c r="C545" s="13" t="n"/>
      <c r="D545" s="13" t="n"/>
      <c r="E545" s="11" t="n"/>
      <c r="F545" s="7">
        <f>IF(A545="","",IF(OR(A545&lt;TaxStart,A545&gt;TaxEnd),"Outside tax year",IF(A545&lt;DATE(YEAR(TaxStart),7,6),"Q1",IF(A545&lt;DATE(YEAR(TaxStart),10,6),"Q2",IF(A545&lt;DATE(YEAR(TaxStart)+1,1,6),"Q3","Q4")))))</f>
        <v/>
      </c>
    </row>
    <row r="546">
      <c r="A546" s="8" t="n"/>
      <c r="B546" s="13" t="n"/>
      <c r="C546" s="13" t="n"/>
      <c r="D546" s="13" t="n"/>
      <c r="E546" s="11" t="n"/>
      <c r="F546" s="7">
        <f>IF(A546="","",IF(OR(A546&lt;TaxStart,A546&gt;TaxEnd),"Outside tax year",IF(A546&lt;DATE(YEAR(TaxStart),7,6),"Q1",IF(A546&lt;DATE(YEAR(TaxStart),10,6),"Q2",IF(A546&lt;DATE(YEAR(TaxStart)+1,1,6),"Q3","Q4")))))</f>
        <v/>
      </c>
    </row>
    <row r="547">
      <c r="A547" s="8" t="n"/>
      <c r="B547" s="13" t="n"/>
      <c r="C547" s="13" t="n"/>
      <c r="D547" s="13" t="n"/>
      <c r="E547" s="11" t="n"/>
      <c r="F547" s="7">
        <f>IF(A547="","",IF(OR(A547&lt;TaxStart,A547&gt;TaxEnd),"Outside tax year",IF(A547&lt;DATE(YEAR(TaxStart),7,6),"Q1",IF(A547&lt;DATE(YEAR(TaxStart),10,6),"Q2",IF(A547&lt;DATE(YEAR(TaxStart)+1,1,6),"Q3","Q4")))))</f>
        <v/>
      </c>
    </row>
    <row r="548">
      <c r="A548" s="8" t="n"/>
      <c r="B548" s="13" t="n"/>
      <c r="C548" s="13" t="n"/>
      <c r="D548" s="13" t="n"/>
      <c r="E548" s="11" t="n"/>
      <c r="F548" s="7">
        <f>IF(A548="","",IF(OR(A548&lt;TaxStart,A548&gt;TaxEnd),"Outside tax year",IF(A548&lt;DATE(YEAR(TaxStart),7,6),"Q1",IF(A548&lt;DATE(YEAR(TaxStart),10,6),"Q2",IF(A548&lt;DATE(YEAR(TaxStart)+1,1,6),"Q3","Q4")))))</f>
        <v/>
      </c>
    </row>
    <row r="549">
      <c r="A549" s="8" t="n"/>
      <c r="B549" s="13" t="n"/>
      <c r="C549" s="13" t="n"/>
      <c r="D549" s="13" t="n"/>
      <c r="E549" s="11" t="n"/>
      <c r="F549" s="7">
        <f>IF(A549="","",IF(OR(A549&lt;TaxStart,A549&gt;TaxEnd),"Outside tax year",IF(A549&lt;DATE(YEAR(TaxStart),7,6),"Q1",IF(A549&lt;DATE(YEAR(TaxStart),10,6),"Q2",IF(A549&lt;DATE(YEAR(TaxStart)+1,1,6),"Q3","Q4")))))</f>
        <v/>
      </c>
    </row>
    <row r="550">
      <c r="A550" s="8" t="n"/>
      <c r="B550" s="13" t="n"/>
      <c r="C550" s="13" t="n"/>
      <c r="D550" s="13" t="n"/>
      <c r="E550" s="11" t="n"/>
      <c r="F550" s="7">
        <f>IF(A550="","",IF(OR(A550&lt;TaxStart,A550&gt;TaxEnd),"Outside tax year",IF(A550&lt;DATE(YEAR(TaxStart),7,6),"Q1",IF(A550&lt;DATE(YEAR(TaxStart),10,6),"Q2",IF(A550&lt;DATE(YEAR(TaxStart)+1,1,6),"Q3","Q4")))))</f>
        <v/>
      </c>
    </row>
    <row r="551">
      <c r="A551" s="8" t="n"/>
      <c r="B551" s="13" t="n"/>
      <c r="C551" s="13" t="n"/>
      <c r="D551" s="13" t="n"/>
      <c r="E551" s="11" t="n"/>
      <c r="F551" s="7">
        <f>IF(A551="","",IF(OR(A551&lt;TaxStart,A551&gt;TaxEnd),"Outside tax year",IF(A551&lt;DATE(YEAR(TaxStart),7,6),"Q1",IF(A551&lt;DATE(YEAR(TaxStart),10,6),"Q2",IF(A551&lt;DATE(YEAR(TaxStart)+1,1,6),"Q3","Q4")))))</f>
        <v/>
      </c>
    </row>
    <row r="552">
      <c r="A552" s="8" t="n"/>
      <c r="B552" s="13" t="n"/>
      <c r="C552" s="13" t="n"/>
      <c r="D552" s="13" t="n"/>
      <c r="E552" s="11" t="n"/>
      <c r="F552" s="7">
        <f>IF(A552="","",IF(OR(A552&lt;TaxStart,A552&gt;TaxEnd),"Outside tax year",IF(A552&lt;DATE(YEAR(TaxStart),7,6),"Q1",IF(A552&lt;DATE(YEAR(TaxStart),10,6),"Q2",IF(A552&lt;DATE(YEAR(TaxStart)+1,1,6),"Q3","Q4")))))</f>
        <v/>
      </c>
    </row>
    <row r="553">
      <c r="A553" s="8" t="n"/>
      <c r="B553" s="13" t="n"/>
      <c r="C553" s="13" t="n"/>
      <c r="D553" s="13" t="n"/>
      <c r="E553" s="11" t="n"/>
      <c r="F553" s="7">
        <f>IF(A553="","",IF(OR(A553&lt;TaxStart,A553&gt;TaxEnd),"Outside tax year",IF(A553&lt;DATE(YEAR(TaxStart),7,6),"Q1",IF(A553&lt;DATE(YEAR(TaxStart),10,6),"Q2",IF(A553&lt;DATE(YEAR(TaxStart)+1,1,6),"Q3","Q4")))))</f>
        <v/>
      </c>
    </row>
    <row r="554">
      <c r="A554" s="8" t="n"/>
      <c r="B554" s="13" t="n"/>
      <c r="C554" s="13" t="n"/>
      <c r="D554" s="13" t="n"/>
      <c r="E554" s="11" t="n"/>
      <c r="F554" s="7">
        <f>IF(A554="","",IF(OR(A554&lt;TaxStart,A554&gt;TaxEnd),"Outside tax year",IF(A554&lt;DATE(YEAR(TaxStart),7,6),"Q1",IF(A554&lt;DATE(YEAR(TaxStart),10,6),"Q2",IF(A554&lt;DATE(YEAR(TaxStart)+1,1,6),"Q3","Q4")))))</f>
        <v/>
      </c>
    </row>
    <row r="555">
      <c r="A555" s="8" t="n"/>
      <c r="B555" s="13" t="n"/>
      <c r="C555" s="13" t="n"/>
      <c r="D555" s="13" t="n"/>
      <c r="E555" s="11" t="n"/>
      <c r="F555" s="7">
        <f>IF(A555="","",IF(OR(A555&lt;TaxStart,A555&gt;TaxEnd),"Outside tax year",IF(A555&lt;DATE(YEAR(TaxStart),7,6),"Q1",IF(A555&lt;DATE(YEAR(TaxStart),10,6),"Q2",IF(A555&lt;DATE(YEAR(TaxStart)+1,1,6),"Q3","Q4")))))</f>
        <v/>
      </c>
    </row>
    <row r="556">
      <c r="A556" s="8" t="n"/>
      <c r="B556" s="13" t="n"/>
      <c r="C556" s="13" t="n"/>
      <c r="D556" s="13" t="n"/>
      <c r="E556" s="11" t="n"/>
      <c r="F556" s="7">
        <f>IF(A556="","",IF(OR(A556&lt;TaxStart,A556&gt;TaxEnd),"Outside tax year",IF(A556&lt;DATE(YEAR(TaxStart),7,6),"Q1",IF(A556&lt;DATE(YEAR(TaxStart),10,6),"Q2",IF(A556&lt;DATE(YEAR(TaxStart)+1,1,6),"Q3","Q4")))))</f>
        <v/>
      </c>
    </row>
    <row r="557">
      <c r="A557" s="8" t="n"/>
      <c r="B557" s="13" t="n"/>
      <c r="C557" s="13" t="n"/>
      <c r="D557" s="13" t="n"/>
      <c r="E557" s="11" t="n"/>
      <c r="F557" s="7">
        <f>IF(A557="","",IF(OR(A557&lt;TaxStart,A557&gt;TaxEnd),"Outside tax year",IF(A557&lt;DATE(YEAR(TaxStart),7,6),"Q1",IF(A557&lt;DATE(YEAR(TaxStart),10,6),"Q2",IF(A557&lt;DATE(YEAR(TaxStart)+1,1,6),"Q3","Q4")))))</f>
        <v/>
      </c>
    </row>
    <row r="558">
      <c r="A558" s="8" t="n"/>
      <c r="B558" s="13" t="n"/>
      <c r="C558" s="13" t="n"/>
      <c r="D558" s="13" t="n"/>
      <c r="E558" s="11" t="n"/>
      <c r="F558" s="7">
        <f>IF(A558="","",IF(OR(A558&lt;TaxStart,A558&gt;TaxEnd),"Outside tax year",IF(A558&lt;DATE(YEAR(TaxStart),7,6),"Q1",IF(A558&lt;DATE(YEAR(TaxStart),10,6),"Q2",IF(A558&lt;DATE(YEAR(TaxStart)+1,1,6),"Q3","Q4")))))</f>
        <v/>
      </c>
    </row>
    <row r="559">
      <c r="A559" s="8" t="n"/>
      <c r="B559" s="13" t="n"/>
      <c r="C559" s="13" t="n"/>
      <c r="D559" s="13" t="n"/>
      <c r="E559" s="11" t="n"/>
      <c r="F559" s="7">
        <f>IF(A559="","",IF(OR(A559&lt;TaxStart,A559&gt;TaxEnd),"Outside tax year",IF(A559&lt;DATE(YEAR(TaxStart),7,6),"Q1",IF(A559&lt;DATE(YEAR(TaxStart),10,6),"Q2",IF(A559&lt;DATE(YEAR(TaxStart)+1,1,6),"Q3","Q4")))))</f>
        <v/>
      </c>
    </row>
    <row r="560">
      <c r="A560" s="8" t="n"/>
      <c r="B560" s="13" t="n"/>
      <c r="C560" s="13" t="n"/>
      <c r="D560" s="13" t="n"/>
      <c r="E560" s="11" t="n"/>
      <c r="F560" s="7">
        <f>IF(A560="","",IF(OR(A560&lt;TaxStart,A560&gt;TaxEnd),"Outside tax year",IF(A560&lt;DATE(YEAR(TaxStart),7,6),"Q1",IF(A560&lt;DATE(YEAR(TaxStart),10,6),"Q2",IF(A560&lt;DATE(YEAR(TaxStart)+1,1,6),"Q3","Q4")))))</f>
        <v/>
      </c>
    </row>
    <row r="561">
      <c r="A561" s="8" t="n"/>
      <c r="B561" s="13" t="n"/>
      <c r="C561" s="13" t="n"/>
      <c r="D561" s="13" t="n"/>
      <c r="E561" s="11" t="n"/>
      <c r="F561" s="7">
        <f>IF(A561="","",IF(OR(A561&lt;TaxStart,A561&gt;TaxEnd),"Outside tax year",IF(A561&lt;DATE(YEAR(TaxStart),7,6),"Q1",IF(A561&lt;DATE(YEAR(TaxStart),10,6),"Q2",IF(A561&lt;DATE(YEAR(TaxStart)+1,1,6),"Q3","Q4")))))</f>
        <v/>
      </c>
    </row>
    <row r="562">
      <c r="A562" s="8" t="n"/>
      <c r="B562" s="13" t="n"/>
      <c r="C562" s="13" t="n"/>
      <c r="D562" s="13" t="n"/>
      <c r="E562" s="11" t="n"/>
      <c r="F562" s="7">
        <f>IF(A562="","",IF(OR(A562&lt;TaxStart,A562&gt;TaxEnd),"Outside tax year",IF(A562&lt;DATE(YEAR(TaxStart),7,6),"Q1",IF(A562&lt;DATE(YEAR(TaxStart),10,6),"Q2",IF(A562&lt;DATE(YEAR(TaxStart)+1,1,6),"Q3","Q4")))))</f>
        <v/>
      </c>
    </row>
    <row r="563">
      <c r="A563" s="8" t="n"/>
      <c r="B563" s="13" t="n"/>
      <c r="C563" s="13" t="n"/>
      <c r="D563" s="13" t="n"/>
      <c r="E563" s="11" t="n"/>
      <c r="F563" s="7">
        <f>IF(A563="","",IF(OR(A563&lt;TaxStart,A563&gt;TaxEnd),"Outside tax year",IF(A563&lt;DATE(YEAR(TaxStart),7,6),"Q1",IF(A563&lt;DATE(YEAR(TaxStart),10,6),"Q2",IF(A563&lt;DATE(YEAR(TaxStart)+1,1,6),"Q3","Q4")))))</f>
        <v/>
      </c>
    </row>
    <row r="564">
      <c r="A564" s="8" t="n"/>
      <c r="B564" s="13" t="n"/>
      <c r="C564" s="13" t="n"/>
      <c r="D564" s="13" t="n"/>
      <c r="E564" s="11" t="n"/>
      <c r="F564" s="7">
        <f>IF(A564="","",IF(OR(A564&lt;TaxStart,A564&gt;TaxEnd),"Outside tax year",IF(A564&lt;DATE(YEAR(TaxStart),7,6),"Q1",IF(A564&lt;DATE(YEAR(TaxStart),10,6),"Q2",IF(A564&lt;DATE(YEAR(TaxStart)+1,1,6),"Q3","Q4")))))</f>
        <v/>
      </c>
    </row>
    <row r="565">
      <c r="A565" s="8" t="n"/>
      <c r="B565" s="13" t="n"/>
      <c r="C565" s="13" t="n"/>
      <c r="D565" s="13" t="n"/>
      <c r="E565" s="11" t="n"/>
      <c r="F565" s="7">
        <f>IF(A565="","",IF(OR(A565&lt;TaxStart,A565&gt;TaxEnd),"Outside tax year",IF(A565&lt;DATE(YEAR(TaxStart),7,6),"Q1",IF(A565&lt;DATE(YEAR(TaxStart),10,6),"Q2",IF(A565&lt;DATE(YEAR(TaxStart)+1,1,6),"Q3","Q4")))))</f>
        <v/>
      </c>
    </row>
    <row r="566">
      <c r="A566" s="8" t="n"/>
      <c r="B566" s="13" t="n"/>
      <c r="C566" s="13" t="n"/>
      <c r="D566" s="13" t="n"/>
      <c r="E566" s="11" t="n"/>
      <c r="F566" s="7">
        <f>IF(A566="","",IF(OR(A566&lt;TaxStart,A566&gt;TaxEnd),"Outside tax year",IF(A566&lt;DATE(YEAR(TaxStart),7,6),"Q1",IF(A566&lt;DATE(YEAR(TaxStart),10,6),"Q2",IF(A566&lt;DATE(YEAR(TaxStart)+1,1,6),"Q3","Q4")))))</f>
        <v/>
      </c>
    </row>
    <row r="567">
      <c r="A567" s="8" t="n"/>
      <c r="B567" s="13" t="n"/>
      <c r="C567" s="13" t="n"/>
      <c r="D567" s="13" t="n"/>
      <c r="E567" s="11" t="n"/>
      <c r="F567" s="7">
        <f>IF(A567="","",IF(OR(A567&lt;TaxStart,A567&gt;TaxEnd),"Outside tax year",IF(A567&lt;DATE(YEAR(TaxStart),7,6),"Q1",IF(A567&lt;DATE(YEAR(TaxStart),10,6),"Q2",IF(A567&lt;DATE(YEAR(TaxStart)+1,1,6),"Q3","Q4")))))</f>
        <v/>
      </c>
    </row>
    <row r="568">
      <c r="A568" s="8" t="n"/>
      <c r="B568" s="13" t="n"/>
      <c r="C568" s="13" t="n"/>
      <c r="D568" s="13" t="n"/>
      <c r="E568" s="11" t="n"/>
      <c r="F568" s="7">
        <f>IF(A568="","",IF(OR(A568&lt;TaxStart,A568&gt;TaxEnd),"Outside tax year",IF(A568&lt;DATE(YEAR(TaxStart),7,6),"Q1",IF(A568&lt;DATE(YEAR(TaxStart),10,6),"Q2",IF(A568&lt;DATE(YEAR(TaxStart)+1,1,6),"Q3","Q4")))))</f>
        <v/>
      </c>
    </row>
    <row r="569">
      <c r="A569" s="8" t="n"/>
      <c r="B569" s="13" t="n"/>
      <c r="C569" s="13" t="n"/>
      <c r="D569" s="13" t="n"/>
      <c r="E569" s="11" t="n"/>
      <c r="F569" s="7">
        <f>IF(A569="","",IF(OR(A569&lt;TaxStart,A569&gt;TaxEnd),"Outside tax year",IF(A569&lt;DATE(YEAR(TaxStart),7,6),"Q1",IF(A569&lt;DATE(YEAR(TaxStart),10,6),"Q2",IF(A569&lt;DATE(YEAR(TaxStart)+1,1,6),"Q3","Q4")))))</f>
        <v/>
      </c>
    </row>
    <row r="570">
      <c r="A570" s="8" t="n"/>
      <c r="B570" s="13" t="n"/>
      <c r="C570" s="13" t="n"/>
      <c r="D570" s="13" t="n"/>
      <c r="E570" s="11" t="n"/>
      <c r="F570" s="7">
        <f>IF(A570="","",IF(OR(A570&lt;TaxStart,A570&gt;TaxEnd),"Outside tax year",IF(A570&lt;DATE(YEAR(TaxStart),7,6),"Q1",IF(A570&lt;DATE(YEAR(TaxStart),10,6),"Q2",IF(A570&lt;DATE(YEAR(TaxStart)+1,1,6),"Q3","Q4")))))</f>
        <v/>
      </c>
    </row>
    <row r="571">
      <c r="A571" s="8" t="n"/>
      <c r="B571" s="13" t="n"/>
      <c r="C571" s="13" t="n"/>
      <c r="D571" s="13" t="n"/>
      <c r="E571" s="11" t="n"/>
      <c r="F571" s="7">
        <f>IF(A571="","",IF(OR(A571&lt;TaxStart,A571&gt;TaxEnd),"Outside tax year",IF(A571&lt;DATE(YEAR(TaxStart),7,6),"Q1",IF(A571&lt;DATE(YEAR(TaxStart),10,6),"Q2",IF(A571&lt;DATE(YEAR(TaxStart)+1,1,6),"Q3","Q4")))))</f>
        <v/>
      </c>
    </row>
    <row r="572">
      <c r="A572" s="8" t="n"/>
      <c r="B572" s="13" t="n"/>
      <c r="C572" s="13" t="n"/>
      <c r="D572" s="13" t="n"/>
      <c r="E572" s="11" t="n"/>
      <c r="F572" s="7">
        <f>IF(A572="","",IF(OR(A572&lt;TaxStart,A572&gt;TaxEnd),"Outside tax year",IF(A572&lt;DATE(YEAR(TaxStart),7,6),"Q1",IF(A572&lt;DATE(YEAR(TaxStart),10,6),"Q2",IF(A572&lt;DATE(YEAR(TaxStart)+1,1,6),"Q3","Q4")))))</f>
        <v/>
      </c>
    </row>
    <row r="573">
      <c r="A573" s="8" t="n"/>
      <c r="B573" s="13" t="n"/>
      <c r="C573" s="13" t="n"/>
      <c r="D573" s="13" t="n"/>
      <c r="E573" s="11" t="n"/>
      <c r="F573" s="7">
        <f>IF(A573="","",IF(OR(A573&lt;TaxStart,A573&gt;TaxEnd),"Outside tax year",IF(A573&lt;DATE(YEAR(TaxStart),7,6),"Q1",IF(A573&lt;DATE(YEAR(TaxStart),10,6),"Q2",IF(A573&lt;DATE(YEAR(TaxStart)+1,1,6),"Q3","Q4")))))</f>
        <v/>
      </c>
    </row>
    <row r="574">
      <c r="A574" s="8" t="n"/>
      <c r="B574" s="13" t="n"/>
      <c r="C574" s="13" t="n"/>
      <c r="D574" s="13" t="n"/>
      <c r="E574" s="11" t="n"/>
      <c r="F574" s="7">
        <f>IF(A574="","",IF(OR(A574&lt;TaxStart,A574&gt;TaxEnd),"Outside tax year",IF(A574&lt;DATE(YEAR(TaxStart),7,6),"Q1",IF(A574&lt;DATE(YEAR(TaxStart),10,6),"Q2",IF(A574&lt;DATE(YEAR(TaxStart)+1,1,6),"Q3","Q4")))))</f>
        <v/>
      </c>
    </row>
    <row r="575">
      <c r="A575" s="8" t="n"/>
      <c r="B575" s="13" t="n"/>
      <c r="C575" s="13" t="n"/>
      <c r="D575" s="13" t="n"/>
      <c r="E575" s="11" t="n"/>
      <c r="F575" s="7">
        <f>IF(A575="","",IF(OR(A575&lt;TaxStart,A575&gt;TaxEnd),"Outside tax year",IF(A575&lt;DATE(YEAR(TaxStart),7,6),"Q1",IF(A575&lt;DATE(YEAR(TaxStart),10,6),"Q2",IF(A575&lt;DATE(YEAR(TaxStart)+1,1,6),"Q3","Q4")))))</f>
        <v/>
      </c>
    </row>
    <row r="576">
      <c r="A576" s="8" t="n"/>
      <c r="B576" s="13" t="n"/>
      <c r="C576" s="13" t="n"/>
      <c r="D576" s="13" t="n"/>
      <c r="E576" s="11" t="n"/>
      <c r="F576" s="7">
        <f>IF(A576="","",IF(OR(A576&lt;TaxStart,A576&gt;TaxEnd),"Outside tax year",IF(A576&lt;DATE(YEAR(TaxStart),7,6),"Q1",IF(A576&lt;DATE(YEAR(TaxStart),10,6),"Q2",IF(A576&lt;DATE(YEAR(TaxStart)+1,1,6),"Q3","Q4")))))</f>
        <v/>
      </c>
    </row>
    <row r="577">
      <c r="A577" s="8" t="n"/>
      <c r="B577" s="13" t="n"/>
      <c r="C577" s="13" t="n"/>
      <c r="D577" s="13" t="n"/>
      <c r="E577" s="11" t="n"/>
      <c r="F577" s="7">
        <f>IF(A577="","",IF(OR(A577&lt;TaxStart,A577&gt;TaxEnd),"Outside tax year",IF(A577&lt;DATE(YEAR(TaxStart),7,6),"Q1",IF(A577&lt;DATE(YEAR(TaxStart),10,6),"Q2",IF(A577&lt;DATE(YEAR(TaxStart)+1,1,6),"Q3","Q4")))))</f>
        <v/>
      </c>
    </row>
    <row r="578">
      <c r="A578" s="8" t="n"/>
      <c r="B578" s="13" t="n"/>
      <c r="C578" s="13" t="n"/>
      <c r="D578" s="13" t="n"/>
      <c r="E578" s="11" t="n"/>
      <c r="F578" s="7">
        <f>IF(A578="","",IF(OR(A578&lt;TaxStart,A578&gt;TaxEnd),"Outside tax year",IF(A578&lt;DATE(YEAR(TaxStart),7,6),"Q1",IF(A578&lt;DATE(YEAR(TaxStart),10,6),"Q2",IF(A578&lt;DATE(YEAR(TaxStart)+1,1,6),"Q3","Q4")))))</f>
        <v/>
      </c>
    </row>
    <row r="579">
      <c r="A579" s="8" t="n"/>
      <c r="B579" s="13" t="n"/>
      <c r="C579" s="13" t="n"/>
      <c r="D579" s="13" t="n"/>
      <c r="E579" s="11" t="n"/>
      <c r="F579" s="7">
        <f>IF(A579="","",IF(OR(A579&lt;TaxStart,A579&gt;TaxEnd),"Outside tax year",IF(A579&lt;DATE(YEAR(TaxStart),7,6),"Q1",IF(A579&lt;DATE(YEAR(TaxStart),10,6),"Q2",IF(A579&lt;DATE(YEAR(TaxStart)+1,1,6),"Q3","Q4")))))</f>
        <v/>
      </c>
    </row>
    <row r="580">
      <c r="A580" s="8" t="n"/>
      <c r="B580" s="13" t="n"/>
      <c r="C580" s="13" t="n"/>
      <c r="D580" s="13" t="n"/>
      <c r="E580" s="11" t="n"/>
      <c r="F580" s="7">
        <f>IF(A580="","",IF(OR(A580&lt;TaxStart,A580&gt;TaxEnd),"Outside tax year",IF(A580&lt;DATE(YEAR(TaxStart),7,6),"Q1",IF(A580&lt;DATE(YEAR(TaxStart),10,6),"Q2",IF(A580&lt;DATE(YEAR(TaxStart)+1,1,6),"Q3","Q4")))))</f>
        <v/>
      </c>
    </row>
    <row r="581">
      <c r="A581" s="8" t="n"/>
      <c r="B581" s="13" t="n"/>
      <c r="C581" s="13" t="n"/>
      <c r="D581" s="13" t="n"/>
      <c r="E581" s="11" t="n"/>
      <c r="F581" s="7">
        <f>IF(A581="","",IF(OR(A581&lt;TaxStart,A581&gt;TaxEnd),"Outside tax year",IF(A581&lt;DATE(YEAR(TaxStart),7,6),"Q1",IF(A581&lt;DATE(YEAR(TaxStart),10,6),"Q2",IF(A581&lt;DATE(YEAR(TaxStart)+1,1,6),"Q3","Q4")))))</f>
        <v/>
      </c>
    </row>
    <row r="582">
      <c r="A582" s="8" t="n"/>
      <c r="B582" s="13" t="n"/>
      <c r="C582" s="13" t="n"/>
      <c r="D582" s="13" t="n"/>
      <c r="E582" s="11" t="n"/>
      <c r="F582" s="7">
        <f>IF(A582="","",IF(OR(A582&lt;TaxStart,A582&gt;TaxEnd),"Outside tax year",IF(A582&lt;DATE(YEAR(TaxStart),7,6),"Q1",IF(A582&lt;DATE(YEAR(TaxStart),10,6),"Q2",IF(A582&lt;DATE(YEAR(TaxStart)+1,1,6),"Q3","Q4")))))</f>
        <v/>
      </c>
    </row>
    <row r="583">
      <c r="A583" s="8" t="n"/>
      <c r="B583" s="13" t="n"/>
      <c r="C583" s="13" t="n"/>
      <c r="D583" s="13" t="n"/>
      <c r="E583" s="11" t="n"/>
      <c r="F583" s="7">
        <f>IF(A583="","",IF(OR(A583&lt;TaxStart,A583&gt;TaxEnd),"Outside tax year",IF(A583&lt;DATE(YEAR(TaxStart),7,6),"Q1",IF(A583&lt;DATE(YEAR(TaxStart),10,6),"Q2",IF(A583&lt;DATE(YEAR(TaxStart)+1,1,6),"Q3","Q4")))))</f>
        <v/>
      </c>
    </row>
    <row r="584">
      <c r="A584" s="8" t="n"/>
      <c r="B584" s="13" t="n"/>
      <c r="C584" s="13" t="n"/>
      <c r="D584" s="13" t="n"/>
      <c r="E584" s="11" t="n"/>
      <c r="F584" s="7">
        <f>IF(A584="","",IF(OR(A584&lt;TaxStart,A584&gt;TaxEnd),"Outside tax year",IF(A584&lt;DATE(YEAR(TaxStart),7,6),"Q1",IF(A584&lt;DATE(YEAR(TaxStart),10,6),"Q2",IF(A584&lt;DATE(YEAR(TaxStart)+1,1,6),"Q3","Q4")))))</f>
        <v/>
      </c>
    </row>
    <row r="585">
      <c r="A585" s="8" t="n"/>
      <c r="B585" s="13" t="n"/>
      <c r="C585" s="13" t="n"/>
      <c r="D585" s="13" t="n"/>
      <c r="E585" s="11" t="n"/>
      <c r="F585" s="7">
        <f>IF(A585="","",IF(OR(A585&lt;TaxStart,A585&gt;TaxEnd),"Outside tax year",IF(A585&lt;DATE(YEAR(TaxStart),7,6),"Q1",IF(A585&lt;DATE(YEAR(TaxStart),10,6),"Q2",IF(A585&lt;DATE(YEAR(TaxStart)+1,1,6),"Q3","Q4")))))</f>
        <v/>
      </c>
    </row>
    <row r="586">
      <c r="A586" s="8" t="n"/>
      <c r="B586" s="13" t="n"/>
      <c r="C586" s="13" t="n"/>
      <c r="D586" s="13" t="n"/>
      <c r="E586" s="11" t="n"/>
      <c r="F586" s="7">
        <f>IF(A586="","",IF(OR(A586&lt;TaxStart,A586&gt;TaxEnd),"Outside tax year",IF(A586&lt;DATE(YEAR(TaxStart),7,6),"Q1",IF(A586&lt;DATE(YEAR(TaxStart),10,6),"Q2",IF(A586&lt;DATE(YEAR(TaxStart)+1,1,6),"Q3","Q4")))))</f>
        <v/>
      </c>
    </row>
    <row r="587">
      <c r="A587" s="8" t="n"/>
      <c r="B587" s="13" t="n"/>
      <c r="C587" s="13" t="n"/>
      <c r="D587" s="13" t="n"/>
      <c r="E587" s="11" t="n"/>
      <c r="F587" s="7">
        <f>IF(A587="","",IF(OR(A587&lt;TaxStart,A587&gt;TaxEnd),"Outside tax year",IF(A587&lt;DATE(YEAR(TaxStart),7,6),"Q1",IF(A587&lt;DATE(YEAR(TaxStart),10,6),"Q2",IF(A587&lt;DATE(YEAR(TaxStart)+1,1,6),"Q3","Q4")))))</f>
        <v/>
      </c>
    </row>
    <row r="588">
      <c r="A588" s="8" t="n"/>
      <c r="B588" s="13" t="n"/>
      <c r="C588" s="13" t="n"/>
      <c r="D588" s="13" t="n"/>
      <c r="E588" s="11" t="n"/>
      <c r="F588" s="7">
        <f>IF(A588="","",IF(OR(A588&lt;TaxStart,A588&gt;TaxEnd),"Outside tax year",IF(A588&lt;DATE(YEAR(TaxStart),7,6),"Q1",IF(A588&lt;DATE(YEAR(TaxStart),10,6),"Q2",IF(A588&lt;DATE(YEAR(TaxStart)+1,1,6),"Q3","Q4")))))</f>
        <v/>
      </c>
    </row>
    <row r="589">
      <c r="A589" s="8" t="n"/>
      <c r="B589" s="13" t="n"/>
      <c r="C589" s="13" t="n"/>
      <c r="D589" s="13" t="n"/>
      <c r="E589" s="11" t="n"/>
      <c r="F589" s="7">
        <f>IF(A589="","",IF(OR(A589&lt;TaxStart,A589&gt;TaxEnd),"Outside tax year",IF(A589&lt;DATE(YEAR(TaxStart),7,6),"Q1",IF(A589&lt;DATE(YEAR(TaxStart),10,6),"Q2",IF(A589&lt;DATE(YEAR(TaxStart)+1,1,6),"Q3","Q4")))))</f>
        <v/>
      </c>
    </row>
    <row r="590">
      <c r="A590" s="8" t="n"/>
      <c r="B590" s="13" t="n"/>
      <c r="C590" s="13" t="n"/>
      <c r="D590" s="13" t="n"/>
      <c r="E590" s="11" t="n"/>
      <c r="F590" s="7">
        <f>IF(A590="","",IF(OR(A590&lt;TaxStart,A590&gt;TaxEnd),"Outside tax year",IF(A590&lt;DATE(YEAR(TaxStart),7,6),"Q1",IF(A590&lt;DATE(YEAR(TaxStart),10,6),"Q2",IF(A590&lt;DATE(YEAR(TaxStart)+1,1,6),"Q3","Q4")))))</f>
        <v/>
      </c>
    </row>
    <row r="591">
      <c r="A591" s="8" t="n"/>
      <c r="B591" s="13" t="n"/>
      <c r="C591" s="13" t="n"/>
      <c r="D591" s="13" t="n"/>
      <c r="E591" s="11" t="n"/>
      <c r="F591" s="7">
        <f>IF(A591="","",IF(OR(A591&lt;TaxStart,A591&gt;TaxEnd),"Outside tax year",IF(A591&lt;DATE(YEAR(TaxStart),7,6),"Q1",IF(A591&lt;DATE(YEAR(TaxStart),10,6),"Q2",IF(A591&lt;DATE(YEAR(TaxStart)+1,1,6),"Q3","Q4")))))</f>
        <v/>
      </c>
    </row>
    <row r="592">
      <c r="A592" s="8" t="n"/>
      <c r="B592" s="13" t="n"/>
      <c r="C592" s="13" t="n"/>
      <c r="D592" s="13" t="n"/>
      <c r="E592" s="11" t="n"/>
      <c r="F592" s="7">
        <f>IF(A592="","",IF(OR(A592&lt;TaxStart,A592&gt;TaxEnd),"Outside tax year",IF(A592&lt;DATE(YEAR(TaxStart),7,6),"Q1",IF(A592&lt;DATE(YEAR(TaxStart),10,6),"Q2",IF(A592&lt;DATE(YEAR(TaxStart)+1,1,6),"Q3","Q4")))))</f>
        <v/>
      </c>
    </row>
    <row r="593">
      <c r="A593" s="8" t="n"/>
      <c r="B593" s="13" t="n"/>
      <c r="C593" s="13" t="n"/>
      <c r="D593" s="13" t="n"/>
      <c r="E593" s="11" t="n"/>
      <c r="F593" s="7">
        <f>IF(A593="","",IF(OR(A593&lt;TaxStart,A593&gt;TaxEnd),"Outside tax year",IF(A593&lt;DATE(YEAR(TaxStart),7,6),"Q1",IF(A593&lt;DATE(YEAR(TaxStart),10,6),"Q2",IF(A593&lt;DATE(YEAR(TaxStart)+1,1,6),"Q3","Q4")))))</f>
        <v/>
      </c>
    </row>
    <row r="594">
      <c r="A594" s="8" t="n"/>
      <c r="B594" s="13" t="n"/>
      <c r="C594" s="13" t="n"/>
      <c r="D594" s="13" t="n"/>
      <c r="E594" s="11" t="n"/>
      <c r="F594" s="7">
        <f>IF(A594="","",IF(OR(A594&lt;TaxStart,A594&gt;TaxEnd),"Outside tax year",IF(A594&lt;DATE(YEAR(TaxStart),7,6),"Q1",IF(A594&lt;DATE(YEAR(TaxStart),10,6),"Q2",IF(A594&lt;DATE(YEAR(TaxStart)+1,1,6),"Q3","Q4")))))</f>
        <v/>
      </c>
    </row>
    <row r="595">
      <c r="A595" s="8" t="n"/>
      <c r="B595" s="13" t="n"/>
      <c r="C595" s="13" t="n"/>
      <c r="D595" s="13" t="n"/>
      <c r="E595" s="11" t="n"/>
      <c r="F595" s="7">
        <f>IF(A595="","",IF(OR(A595&lt;TaxStart,A595&gt;TaxEnd),"Outside tax year",IF(A595&lt;DATE(YEAR(TaxStart),7,6),"Q1",IF(A595&lt;DATE(YEAR(TaxStart),10,6),"Q2",IF(A595&lt;DATE(YEAR(TaxStart)+1,1,6),"Q3","Q4")))))</f>
        <v/>
      </c>
    </row>
    <row r="596">
      <c r="A596" s="8" t="n"/>
      <c r="B596" s="13" t="n"/>
      <c r="C596" s="13" t="n"/>
      <c r="D596" s="13" t="n"/>
      <c r="E596" s="11" t="n"/>
      <c r="F596" s="7">
        <f>IF(A596="","",IF(OR(A596&lt;TaxStart,A596&gt;TaxEnd),"Outside tax year",IF(A596&lt;DATE(YEAR(TaxStart),7,6),"Q1",IF(A596&lt;DATE(YEAR(TaxStart),10,6),"Q2",IF(A596&lt;DATE(YEAR(TaxStart)+1,1,6),"Q3","Q4")))))</f>
        <v/>
      </c>
    </row>
    <row r="597">
      <c r="A597" s="8" t="n"/>
      <c r="B597" s="13" t="n"/>
      <c r="C597" s="13" t="n"/>
      <c r="D597" s="13" t="n"/>
      <c r="E597" s="11" t="n"/>
      <c r="F597" s="7">
        <f>IF(A597="","",IF(OR(A597&lt;TaxStart,A597&gt;TaxEnd),"Outside tax year",IF(A597&lt;DATE(YEAR(TaxStart),7,6),"Q1",IF(A597&lt;DATE(YEAR(TaxStart),10,6),"Q2",IF(A597&lt;DATE(YEAR(TaxStart)+1,1,6),"Q3","Q4")))))</f>
        <v/>
      </c>
    </row>
    <row r="598">
      <c r="A598" s="8" t="n"/>
      <c r="B598" s="13" t="n"/>
      <c r="C598" s="13" t="n"/>
      <c r="D598" s="13" t="n"/>
      <c r="E598" s="11" t="n"/>
      <c r="F598" s="7">
        <f>IF(A598="","",IF(OR(A598&lt;TaxStart,A598&gt;TaxEnd),"Outside tax year",IF(A598&lt;DATE(YEAR(TaxStart),7,6),"Q1",IF(A598&lt;DATE(YEAR(TaxStart),10,6),"Q2",IF(A598&lt;DATE(YEAR(TaxStart)+1,1,6),"Q3","Q4")))))</f>
        <v/>
      </c>
    </row>
    <row r="599">
      <c r="A599" s="8" t="n"/>
      <c r="B599" s="13" t="n"/>
      <c r="C599" s="13" t="n"/>
      <c r="D599" s="13" t="n"/>
      <c r="E599" s="11" t="n"/>
      <c r="F599" s="7">
        <f>IF(A599="","",IF(OR(A599&lt;TaxStart,A599&gt;TaxEnd),"Outside tax year",IF(A599&lt;DATE(YEAR(TaxStart),7,6),"Q1",IF(A599&lt;DATE(YEAR(TaxStart),10,6),"Q2",IF(A599&lt;DATE(YEAR(TaxStart)+1,1,6),"Q3","Q4")))))</f>
        <v/>
      </c>
    </row>
    <row r="600">
      <c r="A600" s="8" t="n"/>
      <c r="B600" s="13" t="n"/>
      <c r="C600" s="13" t="n"/>
      <c r="D600" s="13" t="n"/>
      <c r="E600" s="11" t="n"/>
      <c r="F600" s="7">
        <f>IF(A600="","",IF(OR(A600&lt;TaxStart,A600&gt;TaxEnd),"Outside tax year",IF(A600&lt;DATE(YEAR(TaxStart),7,6),"Q1",IF(A600&lt;DATE(YEAR(TaxStart),10,6),"Q2",IF(A600&lt;DATE(YEAR(TaxStart)+1,1,6),"Q3","Q4")))))</f>
        <v/>
      </c>
    </row>
    <row r="601">
      <c r="A601" s="8" t="n"/>
      <c r="B601" s="13" t="n"/>
      <c r="C601" s="13" t="n"/>
      <c r="D601" s="13" t="n"/>
      <c r="E601" s="11" t="n"/>
      <c r="F601" s="7">
        <f>IF(A601="","",IF(OR(A601&lt;TaxStart,A601&gt;TaxEnd),"Outside tax year",IF(A601&lt;DATE(YEAR(TaxStart),7,6),"Q1",IF(A601&lt;DATE(YEAR(TaxStart),10,6),"Q2",IF(A601&lt;DATE(YEAR(TaxStart)+1,1,6),"Q3","Q4")))))</f>
        <v/>
      </c>
    </row>
    <row r="602">
      <c r="A602" s="8" t="n"/>
      <c r="B602" s="13" t="n"/>
      <c r="C602" s="13" t="n"/>
      <c r="D602" s="13" t="n"/>
      <c r="E602" s="11" t="n"/>
      <c r="F602" s="7">
        <f>IF(A602="","",IF(OR(A602&lt;TaxStart,A602&gt;TaxEnd),"Outside tax year",IF(A602&lt;DATE(YEAR(TaxStart),7,6),"Q1",IF(A602&lt;DATE(YEAR(TaxStart),10,6),"Q2",IF(A602&lt;DATE(YEAR(TaxStart)+1,1,6),"Q3","Q4")))))</f>
        <v/>
      </c>
    </row>
    <row r="603">
      <c r="A603" s="8" t="n"/>
      <c r="B603" s="13" t="n"/>
      <c r="C603" s="13" t="n"/>
      <c r="D603" s="13" t="n"/>
      <c r="E603" s="11" t="n"/>
      <c r="F603" s="7">
        <f>IF(A603="","",IF(OR(A603&lt;TaxStart,A603&gt;TaxEnd),"Outside tax year",IF(A603&lt;DATE(YEAR(TaxStart),7,6),"Q1",IF(A603&lt;DATE(YEAR(TaxStart),10,6),"Q2",IF(A603&lt;DATE(YEAR(TaxStart)+1,1,6),"Q3","Q4")))))</f>
        <v/>
      </c>
    </row>
    <row r="604">
      <c r="A604" s="8" t="n"/>
      <c r="B604" s="13" t="n"/>
      <c r="C604" s="13" t="n"/>
      <c r="D604" s="13" t="n"/>
      <c r="E604" s="11" t="n"/>
      <c r="F604" s="7">
        <f>IF(A604="","",IF(OR(A604&lt;TaxStart,A604&gt;TaxEnd),"Outside tax year",IF(A604&lt;DATE(YEAR(TaxStart),7,6),"Q1",IF(A604&lt;DATE(YEAR(TaxStart),10,6),"Q2",IF(A604&lt;DATE(YEAR(TaxStart)+1,1,6),"Q3","Q4")))))</f>
        <v/>
      </c>
    </row>
    <row r="605">
      <c r="A605" s="8" t="n"/>
      <c r="B605" s="13" t="n"/>
      <c r="C605" s="13" t="n"/>
      <c r="D605" s="13" t="n"/>
      <c r="E605" s="11" t="n"/>
      <c r="F605" s="7">
        <f>IF(A605="","",IF(OR(A605&lt;TaxStart,A605&gt;TaxEnd),"Outside tax year",IF(A605&lt;DATE(YEAR(TaxStart),7,6),"Q1",IF(A605&lt;DATE(YEAR(TaxStart),10,6),"Q2",IF(A605&lt;DATE(YEAR(TaxStart)+1,1,6),"Q3","Q4")))))</f>
        <v/>
      </c>
    </row>
    <row r="606">
      <c r="A606" s="8" t="n"/>
      <c r="B606" s="13" t="n"/>
      <c r="C606" s="13" t="n"/>
      <c r="D606" s="13" t="n"/>
      <c r="E606" s="11" t="n"/>
      <c r="F606" s="7">
        <f>IF(A606="","",IF(OR(A606&lt;TaxStart,A606&gt;TaxEnd),"Outside tax year",IF(A606&lt;DATE(YEAR(TaxStart),7,6),"Q1",IF(A606&lt;DATE(YEAR(TaxStart),10,6),"Q2",IF(A606&lt;DATE(YEAR(TaxStart)+1,1,6),"Q3","Q4")))))</f>
        <v/>
      </c>
    </row>
    <row r="607">
      <c r="A607" s="8" t="n"/>
      <c r="B607" s="13" t="n"/>
      <c r="C607" s="13" t="n"/>
      <c r="D607" s="13" t="n"/>
      <c r="E607" s="11" t="n"/>
      <c r="F607" s="7">
        <f>IF(A607="","",IF(OR(A607&lt;TaxStart,A607&gt;TaxEnd),"Outside tax year",IF(A607&lt;DATE(YEAR(TaxStart),7,6),"Q1",IF(A607&lt;DATE(YEAR(TaxStart),10,6),"Q2",IF(A607&lt;DATE(YEAR(TaxStart)+1,1,6),"Q3","Q4")))))</f>
        <v/>
      </c>
    </row>
    <row r="608">
      <c r="A608" s="8" t="n"/>
      <c r="B608" s="13" t="n"/>
      <c r="C608" s="13" t="n"/>
      <c r="D608" s="13" t="n"/>
      <c r="E608" s="11" t="n"/>
      <c r="F608" s="7">
        <f>IF(A608="","",IF(OR(A608&lt;TaxStart,A608&gt;TaxEnd),"Outside tax year",IF(A608&lt;DATE(YEAR(TaxStart),7,6),"Q1",IF(A608&lt;DATE(YEAR(TaxStart),10,6),"Q2",IF(A608&lt;DATE(YEAR(TaxStart)+1,1,6),"Q3","Q4")))))</f>
        <v/>
      </c>
    </row>
    <row r="609">
      <c r="A609" s="8" t="n"/>
      <c r="B609" s="13" t="n"/>
      <c r="C609" s="13" t="n"/>
      <c r="D609" s="13" t="n"/>
      <c r="E609" s="11" t="n"/>
      <c r="F609" s="7">
        <f>IF(A609="","",IF(OR(A609&lt;TaxStart,A609&gt;TaxEnd),"Outside tax year",IF(A609&lt;DATE(YEAR(TaxStart),7,6),"Q1",IF(A609&lt;DATE(YEAR(TaxStart),10,6),"Q2",IF(A609&lt;DATE(YEAR(TaxStart)+1,1,6),"Q3","Q4")))))</f>
        <v/>
      </c>
    </row>
    <row r="610">
      <c r="A610" s="8" t="n"/>
      <c r="B610" s="13" t="n"/>
      <c r="C610" s="13" t="n"/>
      <c r="D610" s="13" t="n"/>
      <c r="E610" s="11" t="n"/>
      <c r="F610" s="7">
        <f>IF(A610="","",IF(OR(A610&lt;TaxStart,A610&gt;TaxEnd),"Outside tax year",IF(A610&lt;DATE(YEAR(TaxStart),7,6),"Q1",IF(A610&lt;DATE(YEAR(TaxStart),10,6),"Q2",IF(A610&lt;DATE(YEAR(TaxStart)+1,1,6),"Q3","Q4")))))</f>
        <v/>
      </c>
    </row>
    <row r="611">
      <c r="A611" s="8" t="n"/>
      <c r="B611" s="13" t="n"/>
      <c r="C611" s="13" t="n"/>
      <c r="D611" s="13" t="n"/>
      <c r="E611" s="11" t="n"/>
      <c r="F611" s="7">
        <f>IF(A611="","",IF(OR(A611&lt;TaxStart,A611&gt;TaxEnd),"Outside tax year",IF(A611&lt;DATE(YEAR(TaxStart),7,6),"Q1",IF(A611&lt;DATE(YEAR(TaxStart),10,6),"Q2",IF(A611&lt;DATE(YEAR(TaxStart)+1,1,6),"Q3","Q4")))))</f>
        <v/>
      </c>
    </row>
    <row r="612">
      <c r="A612" s="8" t="n"/>
      <c r="B612" s="13" t="n"/>
      <c r="C612" s="13" t="n"/>
      <c r="D612" s="13" t="n"/>
      <c r="E612" s="11" t="n"/>
      <c r="F612" s="7">
        <f>IF(A612="","",IF(OR(A612&lt;TaxStart,A612&gt;TaxEnd),"Outside tax year",IF(A612&lt;DATE(YEAR(TaxStart),7,6),"Q1",IF(A612&lt;DATE(YEAR(TaxStart),10,6),"Q2",IF(A612&lt;DATE(YEAR(TaxStart)+1,1,6),"Q3","Q4")))))</f>
        <v/>
      </c>
    </row>
    <row r="613">
      <c r="A613" s="8" t="n"/>
      <c r="B613" s="13" t="n"/>
      <c r="C613" s="13" t="n"/>
      <c r="D613" s="13" t="n"/>
      <c r="E613" s="11" t="n"/>
      <c r="F613" s="7">
        <f>IF(A613="","",IF(OR(A613&lt;TaxStart,A613&gt;TaxEnd),"Outside tax year",IF(A613&lt;DATE(YEAR(TaxStart),7,6),"Q1",IF(A613&lt;DATE(YEAR(TaxStart),10,6),"Q2",IF(A613&lt;DATE(YEAR(TaxStart)+1,1,6),"Q3","Q4")))))</f>
        <v/>
      </c>
    </row>
    <row r="614">
      <c r="A614" s="8" t="n"/>
      <c r="B614" s="13" t="n"/>
      <c r="C614" s="13" t="n"/>
      <c r="D614" s="13" t="n"/>
      <c r="E614" s="11" t="n"/>
      <c r="F614" s="7">
        <f>IF(A614="","",IF(OR(A614&lt;TaxStart,A614&gt;TaxEnd),"Outside tax year",IF(A614&lt;DATE(YEAR(TaxStart),7,6),"Q1",IF(A614&lt;DATE(YEAR(TaxStart),10,6),"Q2",IF(A614&lt;DATE(YEAR(TaxStart)+1,1,6),"Q3","Q4")))))</f>
        <v/>
      </c>
    </row>
    <row r="615">
      <c r="A615" s="8" t="n"/>
      <c r="B615" s="13" t="n"/>
      <c r="C615" s="13" t="n"/>
      <c r="D615" s="13" t="n"/>
      <c r="E615" s="11" t="n"/>
      <c r="F615" s="7">
        <f>IF(A615="","",IF(OR(A615&lt;TaxStart,A615&gt;TaxEnd),"Outside tax year",IF(A615&lt;DATE(YEAR(TaxStart),7,6),"Q1",IF(A615&lt;DATE(YEAR(TaxStart),10,6),"Q2",IF(A615&lt;DATE(YEAR(TaxStart)+1,1,6),"Q3","Q4")))))</f>
        <v/>
      </c>
    </row>
    <row r="616">
      <c r="A616" s="8" t="n"/>
      <c r="B616" s="13" t="n"/>
      <c r="C616" s="13" t="n"/>
      <c r="D616" s="13" t="n"/>
      <c r="E616" s="11" t="n"/>
      <c r="F616" s="7">
        <f>IF(A616="","",IF(OR(A616&lt;TaxStart,A616&gt;TaxEnd),"Outside tax year",IF(A616&lt;DATE(YEAR(TaxStart),7,6),"Q1",IF(A616&lt;DATE(YEAR(TaxStart),10,6),"Q2",IF(A616&lt;DATE(YEAR(TaxStart)+1,1,6),"Q3","Q4")))))</f>
        <v/>
      </c>
    </row>
    <row r="617">
      <c r="A617" s="8" t="n"/>
      <c r="B617" s="13" t="n"/>
      <c r="C617" s="13" t="n"/>
      <c r="D617" s="13" t="n"/>
      <c r="E617" s="11" t="n"/>
      <c r="F617" s="7">
        <f>IF(A617="","",IF(OR(A617&lt;TaxStart,A617&gt;TaxEnd),"Outside tax year",IF(A617&lt;DATE(YEAR(TaxStart),7,6),"Q1",IF(A617&lt;DATE(YEAR(TaxStart),10,6),"Q2",IF(A617&lt;DATE(YEAR(TaxStart)+1,1,6),"Q3","Q4")))))</f>
        <v/>
      </c>
    </row>
    <row r="618">
      <c r="A618" s="8" t="n"/>
      <c r="B618" s="13" t="n"/>
      <c r="C618" s="13" t="n"/>
      <c r="D618" s="13" t="n"/>
      <c r="E618" s="11" t="n"/>
      <c r="F618" s="7">
        <f>IF(A618="","",IF(OR(A618&lt;TaxStart,A618&gt;TaxEnd),"Outside tax year",IF(A618&lt;DATE(YEAR(TaxStart),7,6),"Q1",IF(A618&lt;DATE(YEAR(TaxStart),10,6),"Q2",IF(A618&lt;DATE(YEAR(TaxStart)+1,1,6),"Q3","Q4")))))</f>
        <v/>
      </c>
    </row>
    <row r="619">
      <c r="A619" s="8" t="n"/>
      <c r="B619" s="13" t="n"/>
      <c r="C619" s="13" t="n"/>
      <c r="D619" s="13" t="n"/>
      <c r="E619" s="11" t="n"/>
      <c r="F619" s="7">
        <f>IF(A619="","",IF(OR(A619&lt;TaxStart,A619&gt;TaxEnd),"Outside tax year",IF(A619&lt;DATE(YEAR(TaxStart),7,6),"Q1",IF(A619&lt;DATE(YEAR(TaxStart),10,6),"Q2",IF(A619&lt;DATE(YEAR(TaxStart)+1,1,6),"Q3","Q4")))))</f>
        <v/>
      </c>
    </row>
    <row r="620">
      <c r="A620" s="8" t="n"/>
      <c r="B620" s="13" t="n"/>
      <c r="C620" s="13" t="n"/>
      <c r="D620" s="13" t="n"/>
      <c r="E620" s="11" t="n"/>
      <c r="F620" s="7">
        <f>IF(A620="","",IF(OR(A620&lt;TaxStart,A620&gt;TaxEnd),"Outside tax year",IF(A620&lt;DATE(YEAR(TaxStart),7,6),"Q1",IF(A620&lt;DATE(YEAR(TaxStart),10,6),"Q2",IF(A620&lt;DATE(YEAR(TaxStart)+1,1,6),"Q3","Q4")))))</f>
        <v/>
      </c>
    </row>
    <row r="621">
      <c r="A621" s="8" t="n"/>
      <c r="B621" s="13" t="n"/>
      <c r="C621" s="13" t="n"/>
      <c r="D621" s="13" t="n"/>
      <c r="E621" s="11" t="n"/>
      <c r="F621" s="7">
        <f>IF(A621="","",IF(OR(A621&lt;TaxStart,A621&gt;TaxEnd),"Outside tax year",IF(A621&lt;DATE(YEAR(TaxStart),7,6),"Q1",IF(A621&lt;DATE(YEAR(TaxStart),10,6),"Q2",IF(A621&lt;DATE(YEAR(TaxStart)+1,1,6),"Q3","Q4")))))</f>
        <v/>
      </c>
    </row>
    <row r="622">
      <c r="A622" s="8" t="n"/>
      <c r="B622" s="13" t="n"/>
      <c r="C622" s="13" t="n"/>
      <c r="D622" s="13" t="n"/>
      <c r="E622" s="11" t="n"/>
      <c r="F622" s="7">
        <f>IF(A622="","",IF(OR(A622&lt;TaxStart,A622&gt;TaxEnd),"Outside tax year",IF(A622&lt;DATE(YEAR(TaxStart),7,6),"Q1",IF(A622&lt;DATE(YEAR(TaxStart),10,6),"Q2",IF(A622&lt;DATE(YEAR(TaxStart)+1,1,6),"Q3","Q4")))))</f>
        <v/>
      </c>
    </row>
    <row r="623">
      <c r="A623" s="8" t="n"/>
      <c r="B623" s="13" t="n"/>
      <c r="C623" s="13" t="n"/>
      <c r="D623" s="13" t="n"/>
      <c r="E623" s="11" t="n"/>
      <c r="F623" s="7">
        <f>IF(A623="","",IF(OR(A623&lt;TaxStart,A623&gt;TaxEnd),"Outside tax year",IF(A623&lt;DATE(YEAR(TaxStart),7,6),"Q1",IF(A623&lt;DATE(YEAR(TaxStart),10,6),"Q2",IF(A623&lt;DATE(YEAR(TaxStart)+1,1,6),"Q3","Q4")))))</f>
        <v/>
      </c>
    </row>
    <row r="624">
      <c r="A624" s="8" t="n"/>
      <c r="B624" s="13" t="n"/>
      <c r="C624" s="13" t="n"/>
      <c r="D624" s="13" t="n"/>
      <c r="E624" s="11" t="n"/>
      <c r="F624" s="7">
        <f>IF(A624="","",IF(OR(A624&lt;TaxStart,A624&gt;TaxEnd),"Outside tax year",IF(A624&lt;DATE(YEAR(TaxStart),7,6),"Q1",IF(A624&lt;DATE(YEAR(TaxStart),10,6),"Q2",IF(A624&lt;DATE(YEAR(TaxStart)+1,1,6),"Q3","Q4")))))</f>
        <v/>
      </c>
    </row>
    <row r="625">
      <c r="A625" s="8" t="n"/>
      <c r="B625" s="13" t="n"/>
      <c r="C625" s="13" t="n"/>
      <c r="D625" s="13" t="n"/>
      <c r="E625" s="11" t="n"/>
      <c r="F625" s="7">
        <f>IF(A625="","",IF(OR(A625&lt;TaxStart,A625&gt;TaxEnd),"Outside tax year",IF(A625&lt;DATE(YEAR(TaxStart),7,6),"Q1",IF(A625&lt;DATE(YEAR(TaxStart),10,6),"Q2",IF(A625&lt;DATE(YEAR(TaxStart)+1,1,6),"Q3","Q4")))))</f>
        <v/>
      </c>
    </row>
    <row r="626">
      <c r="A626" s="8" t="n"/>
      <c r="B626" s="13" t="n"/>
      <c r="C626" s="13" t="n"/>
      <c r="D626" s="13" t="n"/>
      <c r="E626" s="11" t="n"/>
      <c r="F626" s="7">
        <f>IF(A626="","",IF(OR(A626&lt;TaxStart,A626&gt;TaxEnd),"Outside tax year",IF(A626&lt;DATE(YEAR(TaxStart),7,6),"Q1",IF(A626&lt;DATE(YEAR(TaxStart),10,6),"Q2",IF(A626&lt;DATE(YEAR(TaxStart)+1,1,6),"Q3","Q4")))))</f>
        <v/>
      </c>
    </row>
    <row r="627">
      <c r="A627" s="8" t="n"/>
      <c r="B627" s="13" t="n"/>
      <c r="C627" s="13" t="n"/>
      <c r="D627" s="13" t="n"/>
      <c r="E627" s="11" t="n"/>
      <c r="F627" s="7">
        <f>IF(A627="","",IF(OR(A627&lt;TaxStart,A627&gt;TaxEnd),"Outside tax year",IF(A627&lt;DATE(YEAR(TaxStart),7,6),"Q1",IF(A627&lt;DATE(YEAR(TaxStart),10,6),"Q2",IF(A627&lt;DATE(YEAR(TaxStart)+1,1,6),"Q3","Q4")))))</f>
        <v/>
      </c>
    </row>
    <row r="628">
      <c r="A628" s="8" t="n"/>
      <c r="B628" s="13" t="n"/>
      <c r="C628" s="13" t="n"/>
      <c r="D628" s="13" t="n"/>
      <c r="E628" s="11" t="n"/>
      <c r="F628" s="7">
        <f>IF(A628="","",IF(OR(A628&lt;TaxStart,A628&gt;TaxEnd),"Outside tax year",IF(A628&lt;DATE(YEAR(TaxStart),7,6),"Q1",IF(A628&lt;DATE(YEAR(TaxStart),10,6),"Q2",IF(A628&lt;DATE(YEAR(TaxStart)+1,1,6),"Q3","Q4")))))</f>
        <v/>
      </c>
    </row>
    <row r="629">
      <c r="A629" s="8" t="n"/>
      <c r="B629" s="13" t="n"/>
      <c r="C629" s="13" t="n"/>
      <c r="D629" s="13" t="n"/>
      <c r="E629" s="11" t="n"/>
      <c r="F629" s="7">
        <f>IF(A629="","",IF(OR(A629&lt;TaxStart,A629&gt;TaxEnd),"Outside tax year",IF(A629&lt;DATE(YEAR(TaxStart),7,6),"Q1",IF(A629&lt;DATE(YEAR(TaxStart),10,6),"Q2",IF(A629&lt;DATE(YEAR(TaxStart)+1,1,6),"Q3","Q4")))))</f>
        <v/>
      </c>
    </row>
    <row r="630">
      <c r="A630" s="8" t="n"/>
      <c r="B630" s="13" t="n"/>
      <c r="C630" s="13" t="n"/>
      <c r="D630" s="13" t="n"/>
      <c r="E630" s="11" t="n"/>
      <c r="F630" s="7">
        <f>IF(A630="","",IF(OR(A630&lt;TaxStart,A630&gt;TaxEnd),"Outside tax year",IF(A630&lt;DATE(YEAR(TaxStart),7,6),"Q1",IF(A630&lt;DATE(YEAR(TaxStart),10,6),"Q2",IF(A630&lt;DATE(YEAR(TaxStart)+1,1,6),"Q3","Q4")))))</f>
        <v/>
      </c>
    </row>
    <row r="631">
      <c r="A631" s="8" t="n"/>
      <c r="B631" s="13" t="n"/>
      <c r="C631" s="13" t="n"/>
      <c r="D631" s="13" t="n"/>
      <c r="E631" s="11" t="n"/>
      <c r="F631" s="7">
        <f>IF(A631="","",IF(OR(A631&lt;TaxStart,A631&gt;TaxEnd),"Outside tax year",IF(A631&lt;DATE(YEAR(TaxStart),7,6),"Q1",IF(A631&lt;DATE(YEAR(TaxStart),10,6),"Q2",IF(A631&lt;DATE(YEAR(TaxStart)+1,1,6),"Q3","Q4")))))</f>
        <v/>
      </c>
    </row>
    <row r="632">
      <c r="A632" s="8" t="n"/>
      <c r="B632" s="13" t="n"/>
      <c r="C632" s="13" t="n"/>
      <c r="D632" s="13" t="n"/>
      <c r="E632" s="11" t="n"/>
      <c r="F632" s="7">
        <f>IF(A632="","",IF(OR(A632&lt;TaxStart,A632&gt;TaxEnd),"Outside tax year",IF(A632&lt;DATE(YEAR(TaxStart),7,6),"Q1",IF(A632&lt;DATE(YEAR(TaxStart),10,6),"Q2",IF(A632&lt;DATE(YEAR(TaxStart)+1,1,6),"Q3","Q4")))))</f>
        <v/>
      </c>
    </row>
    <row r="633">
      <c r="A633" s="8" t="n"/>
      <c r="B633" s="13" t="n"/>
      <c r="C633" s="13" t="n"/>
      <c r="D633" s="13" t="n"/>
      <c r="E633" s="11" t="n"/>
      <c r="F633" s="7">
        <f>IF(A633="","",IF(OR(A633&lt;TaxStart,A633&gt;TaxEnd),"Outside tax year",IF(A633&lt;DATE(YEAR(TaxStart),7,6),"Q1",IF(A633&lt;DATE(YEAR(TaxStart),10,6),"Q2",IF(A633&lt;DATE(YEAR(TaxStart)+1,1,6),"Q3","Q4")))))</f>
        <v/>
      </c>
    </row>
    <row r="634">
      <c r="A634" s="8" t="n"/>
      <c r="B634" s="13" t="n"/>
      <c r="C634" s="13" t="n"/>
      <c r="D634" s="13" t="n"/>
      <c r="E634" s="11" t="n"/>
      <c r="F634" s="7">
        <f>IF(A634="","",IF(OR(A634&lt;TaxStart,A634&gt;TaxEnd),"Outside tax year",IF(A634&lt;DATE(YEAR(TaxStart),7,6),"Q1",IF(A634&lt;DATE(YEAR(TaxStart),10,6),"Q2",IF(A634&lt;DATE(YEAR(TaxStart)+1,1,6),"Q3","Q4")))))</f>
        <v/>
      </c>
    </row>
    <row r="635">
      <c r="A635" s="8" t="n"/>
      <c r="B635" s="13" t="n"/>
      <c r="C635" s="13" t="n"/>
      <c r="D635" s="13" t="n"/>
      <c r="E635" s="11" t="n"/>
      <c r="F635" s="7">
        <f>IF(A635="","",IF(OR(A635&lt;TaxStart,A635&gt;TaxEnd),"Outside tax year",IF(A635&lt;DATE(YEAR(TaxStart),7,6),"Q1",IF(A635&lt;DATE(YEAR(TaxStart),10,6),"Q2",IF(A635&lt;DATE(YEAR(TaxStart)+1,1,6),"Q3","Q4")))))</f>
        <v/>
      </c>
    </row>
    <row r="636">
      <c r="A636" s="8" t="n"/>
      <c r="B636" s="13" t="n"/>
      <c r="C636" s="13" t="n"/>
      <c r="D636" s="13" t="n"/>
      <c r="E636" s="11" t="n"/>
      <c r="F636" s="7">
        <f>IF(A636="","",IF(OR(A636&lt;TaxStart,A636&gt;TaxEnd),"Outside tax year",IF(A636&lt;DATE(YEAR(TaxStart),7,6),"Q1",IF(A636&lt;DATE(YEAR(TaxStart),10,6),"Q2",IF(A636&lt;DATE(YEAR(TaxStart)+1,1,6),"Q3","Q4")))))</f>
        <v/>
      </c>
    </row>
    <row r="637">
      <c r="A637" s="8" t="n"/>
      <c r="B637" s="13" t="n"/>
      <c r="C637" s="13" t="n"/>
      <c r="D637" s="13" t="n"/>
      <c r="E637" s="11" t="n"/>
      <c r="F637" s="7">
        <f>IF(A637="","",IF(OR(A637&lt;TaxStart,A637&gt;TaxEnd),"Outside tax year",IF(A637&lt;DATE(YEAR(TaxStart),7,6),"Q1",IF(A637&lt;DATE(YEAR(TaxStart),10,6),"Q2",IF(A637&lt;DATE(YEAR(TaxStart)+1,1,6),"Q3","Q4")))))</f>
        <v/>
      </c>
    </row>
    <row r="638">
      <c r="A638" s="8" t="n"/>
      <c r="B638" s="13" t="n"/>
      <c r="C638" s="13" t="n"/>
      <c r="D638" s="13" t="n"/>
      <c r="E638" s="11" t="n"/>
      <c r="F638" s="7">
        <f>IF(A638="","",IF(OR(A638&lt;TaxStart,A638&gt;TaxEnd),"Outside tax year",IF(A638&lt;DATE(YEAR(TaxStart),7,6),"Q1",IF(A638&lt;DATE(YEAR(TaxStart),10,6),"Q2",IF(A638&lt;DATE(YEAR(TaxStart)+1,1,6),"Q3","Q4")))))</f>
        <v/>
      </c>
    </row>
    <row r="639">
      <c r="A639" s="8" t="n"/>
      <c r="B639" s="13" t="n"/>
      <c r="C639" s="13" t="n"/>
      <c r="D639" s="13" t="n"/>
      <c r="E639" s="11" t="n"/>
      <c r="F639" s="7">
        <f>IF(A639="","",IF(OR(A639&lt;TaxStart,A639&gt;TaxEnd),"Outside tax year",IF(A639&lt;DATE(YEAR(TaxStart),7,6),"Q1",IF(A639&lt;DATE(YEAR(TaxStart),10,6),"Q2",IF(A639&lt;DATE(YEAR(TaxStart)+1,1,6),"Q3","Q4")))))</f>
        <v/>
      </c>
    </row>
    <row r="640">
      <c r="A640" s="8" t="n"/>
      <c r="B640" s="13" t="n"/>
      <c r="C640" s="13" t="n"/>
      <c r="D640" s="13" t="n"/>
      <c r="E640" s="11" t="n"/>
      <c r="F640" s="7">
        <f>IF(A640="","",IF(OR(A640&lt;TaxStart,A640&gt;TaxEnd),"Outside tax year",IF(A640&lt;DATE(YEAR(TaxStart),7,6),"Q1",IF(A640&lt;DATE(YEAR(TaxStart),10,6),"Q2",IF(A640&lt;DATE(YEAR(TaxStart)+1,1,6),"Q3","Q4")))))</f>
        <v/>
      </c>
    </row>
    <row r="641">
      <c r="A641" s="8" t="n"/>
      <c r="B641" s="13" t="n"/>
      <c r="C641" s="13" t="n"/>
      <c r="D641" s="13" t="n"/>
      <c r="E641" s="11" t="n"/>
      <c r="F641" s="7">
        <f>IF(A641="","",IF(OR(A641&lt;TaxStart,A641&gt;TaxEnd),"Outside tax year",IF(A641&lt;DATE(YEAR(TaxStart),7,6),"Q1",IF(A641&lt;DATE(YEAR(TaxStart),10,6),"Q2",IF(A641&lt;DATE(YEAR(TaxStart)+1,1,6),"Q3","Q4")))))</f>
        <v/>
      </c>
    </row>
    <row r="642">
      <c r="A642" s="8" t="n"/>
      <c r="B642" s="13" t="n"/>
      <c r="C642" s="13" t="n"/>
      <c r="D642" s="13" t="n"/>
      <c r="E642" s="11" t="n"/>
      <c r="F642" s="7">
        <f>IF(A642="","",IF(OR(A642&lt;TaxStart,A642&gt;TaxEnd),"Outside tax year",IF(A642&lt;DATE(YEAR(TaxStart),7,6),"Q1",IF(A642&lt;DATE(YEAR(TaxStart),10,6),"Q2",IF(A642&lt;DATE(YEAR(TaxStart)+1,1,6),"Q3","Q4")))))</f>
        <v/>
      </c>
    </row>
    <row r="643">
      <c r="A643" s="8" t="n"/>
      <c r="B643" s="13" t="n"/>
      <c r="C643" s="13" t="n"/>
      <c r="D643" s="13" t="n"/>
      <c r="E643" s="11" t="n"/>
      <c r="F643" s="7">
        <f>IF(A643="","",IF(OR(A643&lt;TaxStart,A643&gt;TaxEnd),"Outside tax year",IF(A643&lt;DATE(YEAR(TaxStart),7,6),"Q1",IF(A643&lt;DATE(YEAR(TaxStart),10,6),"Q2",IF(A643&lt;DATE(YEAR(TaxStart)+1,1,6),"Q3","Q4")))))</f>
        <v/>
      </c>
    </row>
    <row r="644">
      <c r="A644" s="8" t="n"/>
      <c r="B644" s="13" t="n"/>
      <c r="C644" s="13" t="n"/>
      <c r="D644" s="13" t="n"/>
      <c r="E644" s="11" t="n"/>
      <c r="F644" s="7">
        <f>IF(A644="","",IF(OR(A644&lt;TaxStart,A644&gt;TaxEnd),"Outside tax year",IF(A644&lt;DATE(YEAR(TaxStart),7,6),"Q1",IF(A644&lt;DATE(YEAR(TaxStart),10,6),"Q2",IF(A644&lt;DATE(YEAR(TaxStart)+1,1,6),"Q3","Q4")))))</f>
        <v/>
      </c>
    </row>
    <row r="645">
      <c r="A645" s="8" t="n"/>
      <c r="B645" s="13" t="n"/>
      <c r="C645" s="13" t="n"/>
      <c r="D645" s="13" t="n"/>
      <c r="E645" s="11" t="n"/>
      <c r="F645" s="7">
        <f>IF(A645="","",IF(OR(A645&lt;TaxStart,A645&gt;TaxEnd),"Outside tax year",IF(A645&lt;DATE(YEAR(TaxStart),7,6),"Q1",IF(A645&lt;DATE(YEAR(TaxStart),10,6),"Q2",IF(A645&lt;DATE(YEAR(TaxStart)+1,1,6),"Q3","Q4")))))</f>
        <v/>
      </c>
    </row>
    <row r="646">
      <c r="A646" s="8" t="n"/>
      <c r="B646" s="13" t="n"/>
      <c r="C646" s="13" t="n"/>
      <c r="D646" s="13" t="n"/>
      <c r="E646" s="11" t="n"/>
      <c r="F646" s="7">
        <f>IF(A646="","",IF(OR(A646&lt;TaxStart,A646&gt;TaxEnd),"Outside tax year",IF(A646&lt;DATE(YEAR(TaxStart),7,6),"Q1",IF(A646&lt;DATE(YEAR(TaxStart),10,6),"Q2",IF(A646&lt;DATE(YEAR(TaxStart)+1,1,6),"Q3","Q4")))))</f>
        <v/>
      </c>
    </row>
    <row r="647">
      <c r="A647" s="8" t="n"/>
      <c r="B647" s="13" t="n"/>
      <c r="C647" s="13" t="n"/>
      <c r="D647" s="13" t="n"/>
      <c r="E647" s="11" t="n"/>
      <c r="F647" s="7">
        <f>IF(A647="","",IF(OR(A647&lt;TaxStart,A647&gt;TaxEnd),"Outside tax year",IF(A647&lt;DATE(YEAR(TaxStart),7,6),"Q1",IF(A647&lt;DATE(YEAR(TaxStart),10,6),"Q2",IF(A647&lt;DATE(YEAR(TaxStart)+1,1,6),"Q3","Q4")))))</f>
        <v/>
      </c>
    </row>
    <row r="648">
      <c r="A648" s="8" t="n"/>
      <c r="B648" s="13" t="n"/>
      <c r="C648" s="13" t="n"/>
      <c r="D648" s="13" t="n"/>
      <c r="E648" s="11" t="n"/>
      <c r="F648" s="7">
        <f>IF(A648="","",IF(OR(A648&lt;TaxStart,A648&gt;TaxEnd),"Outside tax year",IF(A648&lt;DATE(YEAR(TaxStart),7,6),"Q1",IF(A648&lt;DATE(YEAR(TaxStart),10,6),"Q2",IF(A648&lt;DATE(YEAR(TaxStart)+1,1,6),"Q3","Q4")))))</f>
        <v/>
      </c>
    </row>
    <row r="649">
      <c r="A649" s="8" t="n"/>
      <c r="B649" s="13" t="n"/>
      <c r="C649" s="13" t="n"/>
      <c r="D649" s="13" t="n"/>
      <c r="E649" s="11" t="n"/>
      <c r="F649" s="7">
        <f>IF(A649="","",IF(OR(A649&lt;TaxStart,A649&gt;TaxEnd),"Outside tax year",IF(A649&lt;DATE(YEAR(TaxStart),7,6),"Q1",IF(A649&lt;DATE(YEAR(TaxStart),10,6),"Q2",IF(A649&lt;DATE(YEAR(TaxStart)+1,1,6),"Q3","Q4")))))</f>
        <v/>
      </c>
    </row>
    <row r="650">
      <c r="A650" s="8" t="n"/>
      <c r="B650" s="13" t="n"/>
      <c r="C650" s="13" t="n"/>
      <c r="D650" s="13" t="n"/>
      <c r="E650" s="11" t="n"/>
      <c r="F650" s="7">
        <f>IF(A650="","",IF(OR(A650&lt;TaxStart,A650&gt;TaxEnd),"Outside tax year",IF(A650&lt;DATE(YEAR(TaxStart),7,6),"Q1",IF(A650&lt;DATE(YEAR(TaxStart),10,6),"Q2",IF(A650&lt;DATE(YEAR(TaxStart)+1,1,6),"Q3","Q4")))))</f>
        <v/>
      </c>
    </row>
    <row r="651">
      <c r="A651" s="8" t="n"/>
      <c r="B651" s="13" t="n"/>
      <c r="C651" s="13" t="n"/>
      <c r="D651" s="13" t="n"/>
      <c r="E651" s="11" t="n"/>
      <c r="F651" s="7">
        <f>IF(A651="","",IF(OR(A651&lt;TaxStart,A651&gt;TaxEnd),"Outside tax year",IF(A651&lt;DATE(YEAR(TaxStart),7,6),"Q1",IF(A651&lt;DATE(YEAR(TaxStart),10,6),"Q2",IF(A651&lt;DATE(YEAR(TaxStart)+1,1,6),"Q3","Q4")))))</f>
        <v/>
      </c>
    </row>
    <row r="652">
      <c r="A652" s="8" t="n"/>
      <c r="B652" s="13" t="n"/>
      <c r="C652" s="13" t="n"/>
      <c r="D652" s="13" t="n"/>
      <c r="E652" s="11" t="n"/>
      <c r="F652" s="7">
        <f>IF(A652="","",IF(OR(A652&lt;TaxStart,A652&gt;TaxEnd),"Outside tax year",IF(A652&lt;DATE(YEAR(TaxStart),7,6),"Q1",IF(A652&lt;DATE(YEAR(TaxStart),10,6),"Q2",IF(A652&lt;DATE(YEAR(TaxStart)+1,1,6),"Q3","Q4")))))</f>
        <v/>
      </c>
    </row>
    <row r="653">
      <c r="A653" s="8" t="n"/>
      <c r="B653" s="13" t="n"/>
      <c r="C653" s="13" t="n"/>
      <c r="D653" s="13" t="n"/>
      <c r="E653" s="11" t="n"/>
      <c r="F653" s="7">
        <f>IF(A653="","",IF(OR(A653&lt;TaxStart,A653&gt;TaxEnd),"Outside tax year",IF(A653&lt;DATE(YEAR(TaxStart),7,6),"Q1",IF(A653&lt;DATE(YEAR(TaxStart),10,6),"Q2",IF(A653&lt;DATE(YEAR(TaxStart)+1,1,6),"Q3","Q4")))))</f>
        <v/>
      </c>
    </row>
    <row r="654">
      <c r="A654" s="8" t="n"/>
      <c r="B654" s="13" t="n"/>
      <c r="C654" s="13" t="n"/>
      <c r="D654" s="13" t="n"/>
      <c r="E654" s="11" t="n"/>
      <c r="F654" s="7">
        <f>IF(A654="","",IF(OR(A654&lt;TaxStart,A654&gt;TaxEnd),"Outside tax year",IF(A654&lt;DATE(YEAR(TaxStart),7,6),"Q1",IF(A654&lt;DATE(YEAR(TaxStart),10,6),"Q2",IF(A654&lt;DATE(YEAR(TaxStart)+1,1,6),"Q3","Q4")))))</f>
        <v/>
      </c>
    </row>
    <row r="655">
      <c r="A655" s="8" t="n"/>
      <c r="B655" s="13" t="n"/>
      <c r="C655" s="13" t="n"/>
      <c r="D655" s="13" t="n"/>
      <c r="E655" s="11" t="n"/>
      <c r="F655" s="7">
        <f>IF(A655="","",IF(OR(A655&lt;TaxStart,A655&gt;TaxEnd),"Outside tax year",IF(A655&lt;DATE(YEAR(TaxStart),7,6),"Q1",IF(A655&lt;DATE(YEAR(TaxStart),10,6),"Q2",IF(A655&lt;DATE(YEAR(TaxStart)+1,1,6),"Q3","Q4")))))</f>
        <v/>
      </c>
    </row>
    <row r="656">
      <c r="A656" s="8" t="n"/>
      <c r="B656" s="13" t="n"/>
      <c r="C656" s="13" t="n"/>
      <c r="D656" s="13" t="n"/>
      <c r="E656" s="11" t="n"/>
      <c r="F656" s="7">
        <f>IF(A656="","",IF(OR(A656&lt;TaxStart,A656&gt;TaxEnd),"Outside tax year",IF(A656&lt;DATE(YEAR(TaxStart),7,6),"Q1",IF(A656&lt;DATE(YEAR(TaxStart),10,6),"Q2",IF(A656&lt;DATE(YEAR(TaxStart)+1,1,6),"Q3","Q4")))))</f>
        <v/>
      </c>
    </row>
    <row r="657">
      <c r="A657" s="8" t="n"/>
      <c r="B657" s="13" t="n"/>
      <c r="C657" s="13" t="n"/>
      <c r="D657" s="13" t="n"/>
      <c r="E657" s="11" t="n"/>
      <c r="F657" s="7">
        <f>IF(A657="","",IF(OR(A657&lt;TaxStart,A657&gt;TaxEnd),"Outside tax year",IF(A657&lt;DATE(YEAR(TaxStart),7,6),"Q1",IF(A657&lt;DATE(YEAR(TaxStart),10,6),"Q2",IF(A657&lt;DATE(YEAR(TaxStart)+1,1,6),"Q3","Q4")))))</f>
        <v/>
      </c>
    </row>
    <row r="658">
      <c r="A658" s="8" t="n"/>
      <c r="B658" s="13" t="n"/>
      <c r="C658" s="13" t="n"/>
      <c r="D658" s="13" t="n"/>
      <c r="E658" s="11" t="n"/>
      <c r="F658" s="7">
        <f>IF(A658="","",IF(OR(A658&lt;TaxStart,A658&gt;TaxEnd),"Outside tax year",IF(A658&lt;DATE(YEAR(TaxStart),7,6),"Q1",IF(A658&lt;DATE(YEAR(TaxStart),10,6),"Q2",IF(A658&lt;DATE(YEAR(TaxStart)+1,1,6),"Q3","Q4")))))</f>
        <v/>
      </c>
    </row>
    <row r="659">
      <c r="A659" s="8" t="n"/>
      <c r="B659" s="13" t="n"/>
      <c r="C659" s="13" t="n"/>
      <c r="D659" s="13" t="n"/>
      <c r="E659" s="11" t="n"/>
      <c r="F659" s="7">
        <f>IF(A659="","",IF(OR(A659&lt;TaxStart,A659&gt;TaxEnd),"Outside tax year",IF(A659&lt;DATE(YEAR(TaxStart),7,6),"Q1",IF(A659&lt;DATE(YEAR(TaxStart),10,6),"Q2",IF(A659&lt;DATE(YEAR(TaxStart)+1,1,6),"Q3","Q4")))))</f>
        <v/>
      </c>
    </row>
    <row r="660">
      <c r="A660" s="8" t="n"/>
      <c r="B660" s="13" t="n"/>
      <c r="C660" s="13" t="n"/>
      <c r="D660" s="13" t="n"/>
      <c r="E660" s="11" t="n"/>
      <c r="F660" s="7">
        <f>IF(A660="","",IF(OR(A660&lt;TaxStart,A660&gt;TaxEnd),"Outside tax year",IF(A660&lt;DATE(YEAR(TaxStart),7,6),"Q1",IF(A660&lt;DATE(YEAR(TaxStart),10,6),"Q2",IF(A660&lt;DATE(YEAR(TaxStart)+1,1,6),"Q3","Q4")))))</f>
        <v/>
      </c>
    </row>
    <row r="661">
      <c r="A661" s="8" t="n"/>
      <c r="B661" s="13" t="n"/>
      <c r="C661" s="13" t="n"/>
      <c r="D661" s="13" t="n"/>
      <c r="E661" s="11" t="n"/>
      <c r="F661" s="7">
        <f>IF(A661="","",IF(OR(A661&lt;TaxStart,A661&gt;TaxEnd),"Outside tax year",IF(A661&lt;DATE(YEAR(TaxStart),7,6),"Q1",IF(A661&lt;DATE(YEAR(TaxStart),10,6),"Q2",IF(A661&lt;DATE(YEAR(TaxStart)+1,1,6),"Q3","Q4")))))</f>
        <v/>
      </c>
    </row>
    <row r="662">
      <c r="A662" s="8" t="n"/>
      <c r="B662" s="13" t="n"/>
      <c r="C662" s="13" t="n"/>
      <c r="D662" s="13" t="n"/>
      <c r="E662" s="11" t="n"/>
      <c r="F662" s="7">
        <f>IF(A662="","",IF(OR(A662&lt;TaxStart,A662&gt;TaxEnd),"Outside tax year",IF(A662&lt;DATE(YEAR(TaxStart),7,6),"Q1",IF(A662&lt;DATE(YEAR(TaxStart),10,6),"Q2",IF(A662&lt;DATE(YEAR(TaxStart)+1,1,6),"Q3","Q4")))))</f>
        <v/>
      </c>
    </row>
    <row r="663">
      <c r="A663" s="8" t="n"/>
      <c r="B663" s="13" t="n"/>
      <c r="C663" s="13" t="n"/>
      <c r="D663" s="13" t="n"/>
      <c r="E663" s="11" t="n"/>
      <c r="F663" s="7">
        <f>IF(A663="","",IF(OR(A663&lt;TaxStart,A663&gt;TaxEnd),"Outside tax year",IF(A663&lt;DATE(YEAR(TaxStart),7,6),"Q1",IF(A663&lt;DATE(YEAR(TaxStart),10,6),"Q2",IF(A663&lt;DATE(YEAR(TaxStart)+1,1,6),"Q3","Q4")))))</f>
        <v/>
      </c>
    </row>
    <row r="664">
      <c r="A664" s="8" t="n"/>
      <c r="B664" s="13" t="n"/>
      <c r="C664" s="13" t="n"/>
      <c r="D664" s="13" t="n"/>
      <c r="E664" s="11" t="n"/>
      <c r="F664" s="7">
        <f>IF(A664="","",IF(OR(A664&lt;TaxStart,A664&gt;TaxEnd),"Outside tax year",IF(A664&lt;DATE(YEAR(TaxStart),7,6),"Q1",IF(A664&lt;DATE(YEAR(TaxStart),10,6),"Q2",IF(A664&lt;DATE(YEAR(TaxStart)+1,1,6),"Q3","Q4")))))</f>
        <v/>
      </c>
    </row>
    <row r="665">
      <c r="A665" s="8" t="n"/>
      <c r="B665" s="13" t="n"/>
      <c r="C665" s="13" t="n"/>
      <c r="D665" s="13" t="n"/>
      <c r="E665" s="11" t="n"/>
      <c r="F665" s="7">
        <f>IF(A665="","",IF(OR(A665&lt;TaxStart,A665&gt;TaxEnd),"Outside tax year",IF(A665&lt;DATE(YEAR(TaxStart),7,6),"Q1",IF(A665&lt;DATE(YEAR(TaxStart),10,6),"Q2",IF(A665&lt;DATE(YEAR(TaxStart)+1,1,6),"Q3","Q4")))))</f>
        <v/>
      </c>
    </row>
    <row r="666">
      <c r="A666" s="8" t="n"/>
      <c r="B666" s="13" t="n"/>
      <c r="C666" s="13" t="n"/>
      <c r="D666" s="13" t="n"/>
      <c r="E666" s="11" t="n"/>
      <c r="F666" s="7">
        <f>IF(A666="","",IF(OR(A666&lt;TaxStart,A666&gt;TaxEnd),"Outside tax year",IF(A666&lt;DATE(YEAR(TaxStart),7,6),"Q1",IF(A666&lt;DATE(YEAR(TaxStart),10,6),"Q2",IF(A666&lt;DATE(YEAR(TaxStart)+1,1,6),"Q3","Q4")))))</f>
        <v/>
      </c>
    </row>
    <row r="667">
      <c r="A667" s="8" t="n"/>
      <c r="B667" s="13" t="n"/>
      <c r="C667" s="13" t="n"/>
      <c r="D667" s="13" t="n"/>
      <c r="E667" s="11" t="n"/>
      <c r="F667" s="7">
        <f>IF(A667="","",IF(OR(A667&lt;TaxStart,A667&gt;TaxEnd),"Outside tax year",IF(A667&lt;DATE(YEAR(TaxStart),7,6),"Q1",IF(A667&lt;DATE(YEAR(TaxStart),10,6),"Q2",IF(A667&lt;DATE(YEAR(TaxStart)+1,1,6),"Q3","Q4")))))</f>
        <v/>
      </c>
    </row>
    <row r="668">
      <c r="A668" s="8" t="n"/>
      <c r="B668" s="13" t="n"/>
      <c r="C668" s="13" t="n"/>
      <c r="D668" s="13" t="n"/>
      <c r="E668" s="11" t="n"/>
      <c r="F668" s="7">
        <f>IF(A668="","",IF(OR(A668&lt;TaxStart,A668&gt;TaxEnd),"Outside tax year",IF(A668&lt;DATE(YEAR(TaxStart),7,6),"Q1",IF(A668&lt;DATE(YEAR(TaxStart),10,6),"Q2",IF(A668&lt;DATE(YEAR(TaxStart)+1,1,6),"Q3","Q4")))))</f>
        <v/>
      </c>
    </row>
    <row r="669">
      <c r="A669" s="8" t="n"/>
      <c r="B669" s="13" t="n"/>
      <c r="C669" s="13" t="n"/>
      <c r="D669" s="13" t="n"/>
      <c r="E669" s="11" t="n"/>
      <c r="F669" s="7">
        <f>IF(A669="","",IF(OR(A669&lt;TaxStart,A669&gt;TaxEnd),"Outside tax year",IF(A669&lt;DATE(YEAR(TaxStart),7,6),"Q1",IF(A669&lt;DATE(YEAR(TaxStart),10,6),"Q2",IF(A669&lt;DATE(YEAR(TaxStart)+1,1,6),"Q3","Q4")))))</f>
        <v/>
      </c>
    </row>
    <row r="670">
      <c r="A670" s="8" t="n"/>
      <c r="B670" s="13" t="n"/>
      <c r="C670" s="13" t="n"/>
      <c r="D670" s="13" t="n"/>
      <c r="E670" s="11" t="n"/>
      <c r="F670" s="7">
        <f>IF(A670="","",IF(OR(A670&lt;TaxStart,A670&gt;TaxEnd),"Outside tax year",IF(A670&lt;DATE(YEAR(TaxStart),7,6),"Q1",IF(A670&lt;DATE(YEAR(TaxStart),10,6),"Q2",IF(A670&lt;DATE(YEAR(TaxStart)+1,1,6),"Q3","Q4")))))</f>
        <v/>
      </c>
    </row>
    <row r="671">
      <c r="A671" s="8" t="n"/>
      <c r="B671" s="13" t="n"/>
      <c r="C671" s="13" t="n"/>
      <c r="D671" s="13" t="n"/>
      <c r="E671" s="11" t="n"/>
      <c r="F671" s="7">
        <f>IF(A671="","",IF(OR(A671&lt;TaxStart,A671&gt;TaxEnd),"Outside tax year",IF(A671&lt;DATE(YEAR(TaxStart),7,6),"Q1",IF(A671&lt;DATE(YEAR(TaxStart),10,6),"Q2",IF(A671&lt;DATE(YEAR(TaxStart)+1,1,6),"Q3","Q4")))))</f>
        <v/>
      </c>
    </row>
    <row r="672">
      <c r="A672" s="8" t="n"/>
      <c r="B672" s="13" t="n"/>
      <c r="C672" s="13" t="n"/>
      <c r="D672" s="13" t="n"/>
      <c r="E672" s="11" t="n"/>
      <c r="F672" s="7">
        <f>IF(A672="","",IF(OR(A672&lt;TaxStart,A672&gt;TaxEnd),"Outside tax year",IF(A672&lt;DATE(YEAR(TaxStart),7,6),"Q1",IF(A672&lt;DATE(YEAR(TaxStart),10,6),"Q2",IF(A672&lt;DATE(YEAR(TaxStart)+1,1,6),"Q3","Q4")))))</f>
        <v/>
      </c>
    </row>
    <row r="673">
      <c r="A673" s="8" t="n"/>
      <c r="B673" s="13" t="n"/>
      <c r="C673" s="13" t="n"/>
      <c r="D673" s="13" t="n"/>
      <c r="E673" s="11" t="n"/>
      <c r="F673" s="7">
        <f>IF(A673="","",IF(OR(A673&lt;TaxStart,A673&gt;TaxEnd),"Outside tax year",IF(A673&lt;DATE(YEAR(TaxStart),7,6),"Q1",IF(A673&lt;DATE(YEAR(TaxStart),10,6),"Q2",IF(A673&lt;DATE(YEAR(TaxStart)+1,1,6),"Q3","Q4")))))</f>
        <v/>
      </c>
    </row>
    <row r="674">
      <c r="A674" s="8" t="n"/>
      <c r="B674" s="13" t="n"/>
      <c r="C674" s="13" t="n"/>
      <c r="D674" s="13" t="n"/>
      <c r="E674" s="11" t="n"/>
      <c r="F674" s="7">
        <f>IF(A674="","",IF(OR(A674&lt;TaxStart,A674&gt;TaxEnd),"Outside tax year",IF(A674&lt;DATE(YEAR(TaxStart),7,6),"Q1",IF(A674&lt;DATE(YEAR(TaxStart),10,6),"Q2",IF(A674&lt;DATE(YEAR(TaxStart)+1,1,6),"Q3","Q4")))))</f>
        <v/>
      </c>
    </row>
    <row r="675">
      <c r="A675" s="8" t="n"/>
      <c r="B675" s="13" t="n"/>
      <c r="C675" s="13" t="n"/>
      <c r="D675" s="13" t="n"/>
      <c r="E675" s="11" t="n"/>
      <c r="F675" s="7">
        <f>IF(A675="","",IF(OR(A675&lt;TaxStart,A675&gt;TaxEnd),"Outside tax year",IF(A675&lt;DATE(YEAR(TaxStart),7,6),"Q1",IF(A675&lt;DATE(YEAR(TaxStart),10,6),"Q2",IF(A675&lt;DATE(YEAR(TaxStart)+1,1,6),"Q3","Q4")))))</f>
        <v/>
      </c>
    </row>
    <row r="676">
      <c r="A676" s="8" t="n"/>
      <c r="B676" s="13" t="n"/>
      <c r="C676" s="13" t="n"/>
      <c r="D676" s="13" t="n"/>
      <c r="E676" s="11" t="n"/>
      <c r="F676" s="7">
        <f>IF(A676="","",IF(OR(A676&lt;TaxStart,A676&gt;TaxEnd),"Outside tax year",IF(A676&lt;DATE(YEAR(TaxStart),7,6),"Q1",IF(A676&lt;DATE(YEAR(TaxStart),10,6),"Q2",IF(A676&lt;DATE(YEAR(TaxStart)+1,1,6),"Q3","Q4")))))</f>
        <v/>
      </c>
    </row>
    <row r="677">
      <c r="A677" s="8" t="n"/>
      <c r="B677" s="13" t="n"/>
      <c r="C677" s="13" t="n"/>
      <c r="D677" s="13" t="n"/>
      <c r="E677" s="11" t="n"/>
      <c r="F677" s="7">
        <f>IF(A677="","",IF(OR(A677&lt;TaxStart,A677&gt;TaxEnd),"Outside tax year",IF(A677&lt;DATE(YEAR(TaxStart),7,6),"Q1",IF(A677&lt;DATE(YEAR(TaxStart),10,6),"Q2",IF(A677&lt;DATE(YEAR(TaxStart)+1,1,6),"Q3","Q4")))))</f>
        <v/>
      </c>
    </row>
    <row r="678">
      <c r="A678" s="8" t="n"/>
      <c r="B678" s="13" t="n"/>
      <c r="C678" s="13" t="n"/>
      <c r="D678" s="13" t="n"/>
      <c r="E678" s="11" t="n"/>
      <c r="F678" s="7">
        <f>IF(A678="","",IF(OR(A678&lt;TaxStart,A678&gt;TaxEnd),"Outside tax year",IF(A678&lt;DATE(YEAR(TaxStart),7,6),"Q1",IF(A678&lt;DATE(YEAR(TaxStart),10,6),"Q2",IF(A678&lt;DATE(YEAR(TaxStart)+1,1,6),"Q3","Q4")))))</f>
        <v/>
      </c>
    </row>
    <row r="679">
      <c r="A679" s="8" t="n"/>
      <c r="B679" s="13" t="n"/>
      <c r="C679" s="13" t="n"/>
      <c r="D679" s="13" t="n"/>
      <c r="E679" s="11" t="n"/>
      <c r="F679" s="7">
        <f>IF(A679="","",IF(OR(A679&lt;TaxStart,A679&gt;TaxEnd),"Outside tax year",IF(A679&lt;DATE(YEAR(TaxStart),7,6),"Q1",IF(A679&lt;DATE(YEAR(TaxStart),10,6),"Q2",IF(A679&lt;DATE(YEAR(TaxStart)+1,1,6),"Q3","Q4")))))</f>
        <v/>
      </c>
    </row>
    <row r="680">
      <c r="A680" s="8" t="n"/>
      <c r="B680" s="13" t="n"/>
      <c r="C680" s="13" t="n"/>
      <c r="D680" s="13" t="n"/>
      <c r="E680" s="11" t="n"/>
      <c r="F680" s="7">
        <f>IF(A680="","",IF(OR(A680&lt;TaxStart,A680&gt;TaxEnd),"Outside tax year",IF(A680&lt;DATE(YEAR(TaxStart),7,6),"Q1",IF(A680&lt;DATE(YEAR(TaxStart),10,6),"Q2",IF(A680&lt;DATE(YEAR(TaxStart)+1,1,6),"Q3","Q4")))))</f>
        <v/>
      </c>
    </row>
    <row r="681">
      <c r="A681" s="8" t="n"/>
      <c r="B681" s="13" t="n"/>
      <c r="C681" s="13" t="n"/>
      <c r="D681" s="13" t="n"/>
      <c r="E681" s="11" t="n"/>
      <c r="F681" s="7">
        <f>IF(A681="","",IF(OR(A681&lt;TaxStart,A681&gt;TaxEnd),"Outside tax year",IF(A681&lt;DATE(YEAR(TaxStart),7,6),"Q1",IF(A681&lt;DATE(YEAR(TaxStart),10,6),"Q2",IF(A681&lt;DATE(YEAR(TaxStart)+1,1,6),"Q3","Q4")))))</f>
        <v/>
      </c>
    </row>
    <row r="682">
      <c r="A682" s="8" t="n"/>
      <c r="B682" s="13" t="n"/>
      <c r="C682" s="13" t="n"/>
      <c r="D682" s="13" t="n"/>
      <c r="E682" s="11" t="n"/>
      <c r="F682" s="7">
        <f>IF(A682="","",IF(OR(A682&lt;TaxStart,A682&gt;TaxEnd),"Outside tax year",IF(A682&lt;DATE(YEAR(TaxStart),7,6),"Q1",IF(A682&lt;DATE(YEAR(TaxStart),10,6),"Q2",IF(A682&lt;DATE(YEAR(TaxStart)+1,1,6),"Q3","Q4")))))</f>
        <v/>
      </c>
    </row>
    <row r="683">
      <c r="A683" s="8" t="n"/>
      <c r="B683" s="13" t="n"/>
      <c r="C683" s="13" t="n"/>
      <c r="D683" s="13" t="n"/>
      <c r="E683" s="11" t="n"/>
      <c r="F683" s="7">
        <f>IF(A683="","",IF(OR(A683&lt;TaxStart,A683&gt;TaxEnd),"Outside tax year",IF(A683&lt;DATE(YEAR(TaxStart),7,6),"Q1",IF(A683&lt;DATE(YEAR(TaxStart),10,6),"Q2",IF(A683&lt;DATE(YEAR(TaxStart)+1,1,6),"Q3","Q4")))))</f>
        <v/>
      </c>
    </row>
    <row r="684">
      <c r="A684" s="8" t="n"/>
      <c r="B684" s="13" t="n"/>
      <c r="C684" s="13" t="n"/>
      <c r="D684" s="13" t="n"/>
      <c r="E684" s="11" t="n"/>
      <c r="F684" s="7">
        <f>IF(A684="","",IF(OR(A684&lt;TaxStart,A684&gt;TaxEnd),"Outside tax year",IF(A684&lt;DATE(YEAR(TaxStart),7,6),"Q1",IF(A684&lt;DATE(YEAR(TaxStart),10,6),"Q2",IF(A684&lt;DATE(YEAR(TaxStart)+1,1,6),"Q3","Q4")))))</f>
        <v/>
      </c>
    </row>
    <row r="685">
      <c r="A685" s="8" t="n"/>
      <c r="B685" s="13" t="n"/>
      <c r="C685" s="13" t="n"/>
      <c r="D685" s="13" t="n"/>
      <c r="E685" s="11" t="n"/>
      <c r="F685" s="7">
        <f>IF(A685="","",IF(OR(A685&lt;TaxStart,A685&gt;TaxEnd),"Outside tax year",IF(A685&lt;DATE(YEAR(TaxStart),7,6),"Q1",IF(A685&lt;DATE(YEAR(TaxStart),10,6),"Q2",IF(A685&lt;DATE(YEAR(TaxStart)+1,1,6),"Q3","Q4")))))</f>
        <v/>
      </c>
    </row>
    <row r="686">
      <c r="A686" s="8" t="n"/>
      <c r="B686" s="13" t="n"/>
      <c r="C686" s="13" t="n"/>
      <c r="D686" s="13" t="n"/>
      <c r="E686" s="11" t="n"/>
      <c r="F686" s="7">
        <f>IF(A686="","",IF(OR(A686&lt;TaxStart,A686&gt;TaxEnd),"Outside tax year",IF(A686&lt;DATE(YEAR(TaxStart),7,6),"Q1",IF(A686&lt;DATE(YEAR(TaxStart),10,6),"Q2",IF(A686&lt;DATE(YEAR(TaxStart)+1,1,6),"Q3","Q4")))))</f>
        <v/>
      </c>
    </row>
    <row r="687">
      <c r="A687" s="8" t="n"/>
      <c r="B687" s="13" t="n"/>
      <c r="C687" s="13" t="n"/>
      <c r="D687" s="13" t="n"/>
      <c r="E687" s="11" t="n"/>
      <c r="F687" s="7">
        <f>IF(A687="","",IF(OR(A687&lt;TaxStart,A687&gt;TaxEnd),"Outside tax year",IF(A687&lt;DATE(YEAR(TaxStart),7,6),"Q1",IF(A687&lt;DATE(YEAR(TaxStart),10,6),"Q2",IF(A687&lt;DATE(YEAR(TaxStart)+1,1,6),"Q3","Q4")))))</f>
        <v/>
      </c>
    </row>
    <row r="688">
      <c r="A688" s="8" t="n"/>
      <c r="B688" s="13" t="n"/>
      <c r="C688" s="13" t="n"/>
      <c r="D688" s="13" t="n"/>
      <c r="E688" s="11" t="n"/>
      <c r="F688" s="7">
        <f>IF(A688="","",IF(OR(A688&lt;TaxStart,A688&gt;TaxEnd),"Outside tax year",IF(A688&lt;DATE(YEAR(TaxStart),7,6),"Q1",IF(A688&lt;DATE(YEAR(TaxStart),10,6),"Q2",IF(A688&lt;DATE(YEAR(TaxStart)+1,1,6),"Q3","Q4")))))</f>
        <v/>
      </c>
    </row>
    <row r="689">
      <c r="A689" s="8" t="n"/>
      <c r="B689" s="13" t="n"/>
      <c r="C689" s="13" t="n"/>
      <c r="D689" s="13" t="n"/>
      <c r="E689" s="11" t="n"/>
      <c r="F689" s="7">
        <f>IF(A689="","",IF(OR(A689&lt;TaxStart,A689&gt;TaxEnd),"Outside tax year",IF(A689&lt;DATE(YEAR(TaxStart),7,6),"Q1",IF(A689&lt;DATE(YEAR(TaxStart),10,6),"Q2",IF(A689&lt;DATE(YEAR(TaxStart)+1,1,6),"Q3","Q4")))))</f>
        <v/>
      </c>
    </row>
    <row r="690">
      <c r="A690" s="8" t="n"/>
      <c r="B690" s="13" t="n"/>
      <c r="C690" s="13" t="n"/>
      <c r="D690" s="13" t="n"/>
      <c r="E690" s="11" t="n"/>
      <c r="F690" s="7">
        <f>IF(A690="","",IF(OR(A690&lt;TaxStart,A690&gt;TaxEnd),"Outside tax year",IF(A690&lt;DATE(YEAR(TaxStart),7,6),"Q1",IF(A690&lt;DATE(YEAR(TaxStart),10,6),"Q2",IF(A690&lt;DATE(YEAR(TaxStart)+1,1,6),"Q3","Q4")))))</f>
        <v/>
      </c>
    </row>
    <row r="691">
      <c r="A691" s="8" t="n"/>
      <c r="B691" s="13" t="n"/>
      <c r="C691" s="13" t="n"/>
      <c r="D691" s="13" t="n"/>
      <c r="E691" s="11" t="n"/>
      <c r="F691" s="7">
        <f>IF(A691="","",IF(OR(A691&lt;TaxStart,A691&gt;TaxEnd),"Outside tax year",IF(A691&lt;DATE(YEAR(TaxStart),7,6),"Q1",IF(A691&lt;DATE(YEAR(TaxStart),10,6),"Q2",IF(A691&lt;DATE(YEAR(TaxStart)+1,1,6),"Q3","Q4")))))</f>
        <v/>
      </c>
    </row>
    <row r="692">
      <c r="A692" s="8" t="n"/>
      <c r="B692" s="13" t="n"/>
      <c r="C692" s="13" t="n"/>
      <c r="D692" s="13" t="n"/>
      <c r="E692" s="11" t="n"/>
      <c r="F692" s="7">
        <f>IF(A692="","",IF(OR(A692&lt;TaxStart,A692&gt;TaxEnd),"Outside tax year",IF(A692&lt;DATE(YEAR(TaxStart),7,6),"Q1",IF(A692&lt;DATE(YEAR(TaxStart),10,6),"Q2",IF(A692&lt;DATE(YEAR(TaxStart)+1,1,6),"Q3","Q4")))))</f>
        <v/>
      </c>
    </row>
    <row r="693">
      <c r="A693" s="8" t="n"/>
      <c r="B693" s="13" t="n"/>
      <c r="C693" s="13" t="n"/>
      <c r="D693" s="13" t="n"/>
      <c r="E693" s="11" t="n"/>
      <c r="F693" s="7">
        <f>IF(A693="","",IF(OR(A693&lt;TaxStart,A693&gt;TaxEnd),"Outside tax year",IF(A693&lt;DATE(YEAR(TaxStart),7,6),"Q1",IF(A693&lt;DATE(YEAR(TaxStart),10,6),"Q2",IF(A693&lt;DATE(YEAR(TaxStart)+1,1,6),"Q3","Q4")))))</f>
        <v/>
      </c>
    </row>
    <row r="694">
      <c r="A694" s="8" t="n"/>
      <c r="B694" s="13" t="n"/>
      <c r="C694" s="13" t="n"/>
      <c r="D694" s="13" t="n"/>
      <c r="E694" s="11" t="n"/>
      <c r="F694" s="7">
        <f>IF(A694="","",IF(OR(A694&lt;TaxStart,A694&gt;TaxEnd),"Outside tax year",IF(A694&lt;DATE(YEAR(TaxStart),7,6),"Q1",IF(A694&lt;DATE(YEAR(TaxStart),10,6),"Q2",IF(A694&lt;DATE(YEAR(TaxStart)+1,1,6),"Q3","Q4")))))</f>
        <v/>
      </c>
    </row>
    <row r="695">
      <c r="A695" s="8" t="n"/>
      <c r="B695" s="13" t="n"/>
      <c r="C695" s="13" t="n"/>
      <c r="D695" s="13" t="n"/>
      <c r="E695" s="11" t="n"/>
      <c r="F695" s="7">
        <f>IF(A695="","",IF(OR(A695&lt;TaxStart,A695&gt;TaxEnd),"Outside tax year",IF(A695&lt;DATE(YEAR(TaxStart),7,6),"Q1",IF(A695&lt;DATE(YEAR(TaxStart),10,6),"Q2",IF(A695&lt;DATE(YEAR(TaxStart)+1,1,6),"Q3","Q4")))))</f>
        <v/>
      </c>
    </row>
    <row r="696">
      <c r="A696" s="8" t="n"/>
      <c r="B696" s="13" t="n"/>
      <c r="C696" s="13" t="n"/>
      <c r="D696" s="13" t="n"/>
      <c r="E696" s="11" t="n"/>
      <c r="F696" s="7">
        <f>IF(A696="","",IF(OR(A696&lt;TaxStart,A696&gt;TaxEnd),"Outside tax year",IF(A696&lt;DATE(YEAR(TaxStart),7,6),"Q1",IF(A696&lt;DATE(YEAR(TaxStart),10,6),"Q2",IF(A696&lt;DATE(YEAR(TaxStart)+1,1,6),"Q3","Q4")))))</f>
        <v/>
      </c>
    </row>
    <row r="697">
      <c r="A697" s="8" t="n"/>
      <c r="B697" s="13" t="n"/>
      <c r="C697" s="13" t="n"/>
      <c r="D697" s="13" t="n"/>
      <c r="E697" s="11" t="n"/>
      <c r="F697" s="7">
        <f>IF(A697="","",IF(OR(A697&lt;TaxStart,A697&gt;TaxEnd),"Outside tax year",IF(A697&lt;DATE(YEAR(TaxStart),7,6),"Q1",IF(A697&lt;DATE(YEAR(TaxStart),10,6),"Q2",IF(A697&lt;DATE(YEAR(TaxStart)+1,1,6),"Q3","Q4")))))</f>
        <v/>
      </c>
    </row>
    <row r="698">
      <c r="A698" s="8" t="n"/>
      <c r="B698" s="13" t="n"/>
      <c r="C698" s="13" t="n"/>
      <c r="D698" s="13" t="n"/>
      <c r="E698" s="11" t="n"/>
      <c r="F698" s="7">
        <f>IF(A698="","",IF(OR(A698&lt;TaxStart,A698&gt;TaxEnd),"Outside tax year",IF(A698&lt;DATE(YEAR(TaxStart),7,6),"Q1",IF(A698&lt;DATE(YEAR(TaxStart),10,6),"Q2",IF(A698&lt;DATE(YEAR(TaxStart)+1,1,6),"Q3","Q4")))))</f>
        <v/>
      </c>
    </row>
    <row r="699">
      <c r="A699" s="8" t="n"/>
      <c r="B699" s="13" t="n"/>
      <c r="C699" s="13" t="n"/>
      <c r="D699" s="13" t="n"/>
      <c r="E699" s="11" t="n"/>
      <c r="F699" s="7">
        <f>IF(A699="","",IF(OR(A699&lt;TaxStart,A699&gt;TaxEnd),"Outside tax year",IF(A699&lt;DATE(YEAR(TaxStart),7,6),"Q1",IF(A699&lt;DATE(YEAR(TaxStart),10,6),"Q2",IF(A699&lt;DATE(YEAR(TaxStart)+1,1,6),"Q3","Q4")))))</f>
        <v/>
      </c>
    </row>
    <row r="700">
      <c r="A700" s="8" t="n"/>
      <c r="B700" s="13" t="n"/>
      <c r="C700" s="13" t="n"/>
      <c r="D700" s="13" t="n"/>
      <c r="E700" s="11" t="n"/>
      <c r="F700" s="7">
        <f>IF(A700="","",IF(OR(A700&lt;TaxStart,A700&gt;TaxEnd),"Outside tax year",IF(A700&lt;DATE(YEAR(TaxStart),7,6),"Q1",IF(A700&lt;DATE(YEAR(TaxStart),10,6),"Q2",IF(A700&lt;DATE(YEAR(TaxStart)+1,1,6),"Q3","Q4")))))</f>
        <v/>
      </c>
    </row>
    <row r="701">
      <c r="A701" s="8" t="n"/>
      <c r="B701" s="13" t="n"/>
      <c r="C701" s="13" t="n"/>
      <c r="D701" s="13" t="n"/>
      <c r="E701" s="11" t="n"/>
      <c r="F701" s="7">
        <f>IF(A701="","",IF(OR(A701&lt;TaxStart,A701&gt;TaxEnd),"Outside tax year",IF(A701&lt;DATE(YEAR(TaxStart),7,6),"Q1",IF(A701&lt;DATE(YEAR(TaxStart),10,6),"Q2",IF(A701&lt;DATE(YEAR(TaxStart)+1,1,6),"Q3","Q4")))))</f>
        <v/>
      </c>
    </row>
    <row r="702">
      <c r="A702" s="8" t="n"/>
      <c r="B702" s="13" t="n"/>
      <c r="C702" s="13" t="n"/>
      <c r="D702" s="13" t="n"/>
      <c r="E702" s="11" t="n"/>
      <c r="F702" s="7">
        <f>IF(A702="","",IF(OR(A702&lt;TaxStart,A702&gt;TaxEnd),"Outside tax year",IF(A702&lt;DATE(YEAR(TaxStart),7,6),"Q1",IF(A702&lt;DATE(YEAR(TaxStart),10,6),"Q2",IF(A702&lt;DATE(YEAR(TaxStart)+1,1,6),"Q3","Q4")))))</f>
        <v/>
      </c>
    </row>
    <row r="703">
      <c r="A703" s="8" t="n"/>
      <c r="B703" s="13" t="n"/>
      <c r="C703" s="13" t="n"/>
      <c r="D703" s="13" t="n"/>
      <c r="E703" s="11" t="n"/>
      <c r="F703" s="7">
        <f>IF(A703="","",IF(OR(A703&lt;TaxStart,A703&gt;TaxEnd),"Outside tax year",IF(A703&lt;DATE(YEAR(TaxStart),7,6),"Q1",IF(A703&lt;DATE(YEAR(TaxStart),10,6),"Q2",IF(A703&lt;DATE(YEAR(TaxStart)+1,1,6),"Q3","Q4")))))</f>
        <v/>
      </c>
    </row>
    <row r="704">
      <c r="A704" s="8" t="n"/>
      <c r="B704" s="13" t="n"/>
      <c r="C704" s="13" t="n"/>
      <c r="D704" s="13" t="n"/>
      <c r="E704" s="11" t="n"/>
      <c r="F704" s="7">
        <f>IF(A704="","",IF(OR(A704&lt;TaxStart,A704&gt;TaxEnd),"Outside tax year",IF(A704&lt;DATE(YEAR(TaxStart),7,6),"Q1",IF(A704&lt;DATE(YEAR(TaxStart),10,6),"Q2",IF(A704&lt;DATE(YEAR(TaxStart)+1,1,6),"Q3","Q4")))))</f>
        <v/>
      </c>
    </row>
    <row r="705">
      <c r="A705" s="8" t="n"/>
      <c r="B705" s="13" t="n"/>
      <c r="C705" s="13" t="n"/>
      <c r="D705" s="13" t="n"/>
      <c r="E705" s="11" t="n"/>
      <c r="F705" s="7">
        <f>IF(A705="","",IF(OR(A705&lt;TaxStart,A705&gt;TaxEnd),"Outside tax year",IF(A705&lt;DATE(YEAR(TaxStart),7,6),"Q1",IF(A705&lt;DATE(YEAR(TaxStart),10,6),"Q2",IF(A705&lt;DATE(YEAR(TaxStart)+1,1,6),"Q3","Q4")))))</f>
        <v/>
      </c>
    </row>
    <row r="706">
      <c r="A706" s="8" t="n"/>
      <c r="B706" s="13" t="n"/>
      <c r="C706" s="13" t="n"/>
      <c r="D706" s="13" t="n"/>
      <c r="E706" s="11" t="n"/>
      <c r="F706" s="7">
        <f>IF(A706="","",IF(OR(A706&lt;TaxStart,A706&gt;TaxEnd),"Outside tax year",IF(A706&lt;DATE(YEAR(TaxStart),7,6),"Q1",IF(A706&lt;DATE(YEAR(TaxStart),10,6),"Q2",IF(A706&lt;DATE(YEAR(TaxStart)+1,1,6),"Q3","Q4")))))</f>
        <v/>
      </c>
    </row>
    <row r="707">
      <c r="A707" s="8" t="n"/>
      <c r="B707" s="13" t="n"/>
      <c r="C707" s="13" t="n"/>
      <c r="D707" s="13" t="n"/>
      <c r="E707" s="11" t="n"/>
      <c r="F707" s="7">
        <f>IF(A707="","",IF(OR(A707&lt;TaxStart,A707&gt;TaxEnd),"Outside tax year",IF(A707&lt;DATE(YEAR(TaxStart),7,6),"Q1",IF(A707&lt;DATE(YEAR(TaxStart),10,6),"Q2",IF(A707&lt;DATE(YEAR(TaxStart)+1,1,6),"Q3","Q4")))))</f>
        <v/>
      </c>
    </row>
    <row r="708">
      <c r="A708" s="8" t="n"/>
      <c r="B708" s="13" t="n"/>
      <c r="C708" s="13" t="n"/>
      <c r="D708" s="13" t="n"/>
      <c r="E708" s="11" t="n"/>
      <c r="F708" s="7">
        <f>IF(A708="","",IF(OR(A708&lt;TaxStart,A708&gt;TaxEnd),"Outside tax year",IF(A708&lt;DATE(YEAR(TaxStart),7,6),"Q1",IF(A708&lt;DATE(YEAR(TaxStart),10,6),"Q2",IF(A708&lt;DATE(YEAR(TaxStart)+1,1,6),"Q3","Q4")))))</f>
        <v/>
      </c>
    </row>
    <row r="709">
      <c r="A709" s="8" t="n"/>
      <c r="B709" s="13" t="n"/>
      <c r="C709" s="13" t="n"/>
      <c r="D709" s="13" t="n"/>
      <c r="E709" s="11" t="n"/>
      <c r="F709" s="7">
        <f>IF(A709="","",IF(OR(A709&lt;TaxStart,A709&gt;TaxEnd),"Outside tax year",IF(A709&lt;DATE(YEAR(TaxStart),7,6),"Q1",IF(A709&lt;DATE(YEAR(TaxStart),10,6),"Q2",IF(A709&lt;DATE(YEAR(TaxStart)+1,1,6),"Q3","Q4")))))</f>
        <v/>
      </c>
    </row>
    <row r="710">
      <c r="A710" s="8" t="n"/>
      <c r="B710" s="13" t="n"/>
      <c r="C710" s="13" t="n"/>
      <c r="D710" s="13" t="n"/>
      <c r="E710" s="11" t="n"/>
      <c r="F710" s="7">
        <f>IF(A710="","",IF(OR(A710&lt;TaxStart,A710&gt;TaxEnd),"Outside tax year",IF(A710&lt;DATE(YEAR(TaxStart),7,6),"Q1",IF(A710&lt;DATE(YEAR(TaxStart),10,6),"Q2",IF(A710&lt;DATE(YEAR(TaxStart)+1,1,6),"Q3","Q4")))))</f>
        <v/>
      </c>
    </row>
    <row r="711">
      <c r="A711" s="8" t="n"/>
      <c r="B711" s="13" t="n"/>
      <c r="C711" s="13" t="n"/>
      <c r="D711" s="13" t="n"/>
      <c r="E711" s="11" t="n"/>
      <c r="F711" s="7">
        <f>IF(A711="","",IF(OR(A711&lt;TaxStart,A711&gt;TaxEnd),"Outside tax year",IF(A711&lt;DATE(YEAR(TaxStart),7,6),"Q1",IF(A711&lt;DATE(YEAR(TaxStart),10,6),"Q2",IF(A711&lt;DATE(YEAR(TaxStart)+1,1,6),"Q3","Q4")))))</f>
        <v/>
      </c>
    </row>
    <row r="712">
      <c r="A712" s="8" t="n"/>
      <c r="B712" s="13" t="n"/>
      <c r="C712" s="13" t="n"/>
      <c r="D712" s="13" t="n"/>
      <c r="E712" s="11" t="n"/>
      <c r="F712" s="7">
        <f>IF(A712="","",IF(OR(A712&lt;TaxStart,A712&gt;TaxEnd),"Outside tax year",IF(A712&lt;DATE(YEAR(TaxStart),7,6),"Q1",IF(A712&lt;DATE(YEAR(TaxStart),10,6),"Q2",IF(A712&lt;DATE(YEAR(TaxStart)+1,1,6),"Q3","Q4")))))</f>
        <v/>
      </c>
    </row>
    <row r="713">
      <c r="A713" s="8" t="n"/>
      <c r="B713" s="13" t="n"/>
      <c r="C713" s="13" t="n"/>
      <c r="D713" s="13" t="n"/>
      <c r="E713" s="11" t="n"/>
      <c r="F713" s="7">
        <f>IF(A713="","",IF(OR(A713&lt;TaxStart,A713&gt;TaxEnd),"Outside tax year",IF(A713&lt;DATE(YEAR(TaxStart),7,6),"Q1",IF(A713&lt;DATE(YEAR(TaxStart),10,6),"Q2",IF(A713&lt;DATE(YEAR(TaxStart)+1,1,6),"Q3","Q4")))))</f>
        <v/>
      </c>
    </row>
    <row r="714">
      <c r="A714" s="8" t="n"/>
      <c r="B714" s="13" t="n"/>
      <c r="C714" s="13" t="n"/>
      <c r="D714" s="13" t="n"/>
      <c r="E714" s="11" t="n"/>
      <c r="F714" s="7">
        <f>IF(A714="","",IF(OR(A714&lt;TaxStart,A714&gt;TaxEnd),"Outside tax year",IF(A714&lt;DATE(YEAR(TaxStart),7,6),"Q1",IF(A714&lt;DATE(YEAR(TaxStart),10,6),"Q2",IF(A714&lt;DATE(YEAR(TaxStart)+1,1,6),"Q3","Q4")))))</f>
        <v/>
      </c>
    </row>
    <row r="715">
      <c r="A715" s="8" t="n"/>
      <c r="B715" s="13" t="n"/>
      <c r="C715" s="13" t="n"/>
      <c r="D715" s="13" t="n"/>
      <c r="E715" s="11" t="n"/>
      <c r="F715" s="7">
        <f>IF(A715="","",IF(OR(A715&lt;TaxStart,A715&gt;TaxEnd),"Outside tax year",IF(A715&lt;DATE(YEAR(TaxStart),7,6),"Q1",IF(A715&lt;DATE(YEAR(TaxStart),10,6),"Q2",IF(A715&lt;DATE(YEAR(TaxStart)+1,1,6),"Q3","Q4")))))</f>
        <v/>
      </c>
    </row>
    <row r="716">
      <c r="A716" s="8" t="n"/>
      <c r="B716" s="13" t="n"/>
      <c r="C716" s="13" t="n"/>
      <c r="D716" s="13" t="n"/>
      <c r="E716" s="11" t="n"/>
      <c r="F716" s="7">
        <f>IF(A716="","",IF(OR(A716&lt;TaxStart,A716&gt;TaxEnd),"Outside tax year",IF(A716&lt;DATE(YEAR(TaxStart),7,6),"Q1",IF(A716&lt;DATE(YEAR(TaxStart),10,6),"Q2",IF(A716&lt;DATE(YEAR(TaxStart)+1,1,6),"Q3","Q4")))))</f>
        <v/>
      </c>
    </row>
    <row r="717">
      <c r="A717" s="8" t="n"/>
      <c r="B717" s="13" t="n"/>
      <c r="C717" s="13" t="n"/>
      <c r="D717" s="13" t="n"/>
      <c r="E717" s="11" t="n"/>
      <c r="F717" s="7">
        <f>IF(A717="","",IF(OR(A717&lt;TaxStart,A717&gt;TaxEnd),"Outside tax year",IF(A717&lt;DATE(YEAR(TaxStart),7,6),"Q1",IF(A717&lt;DATE(YEAR(TaxStart),10,6),"Q2",IF(A717&lt;DATE(YEAR(TaxStart)+1,1,6),"Q3","Q4")))))</f>
        <v/>
      </c>
    </row>
    <row r="718">
      <c r="A718" s="8" t="n"/>
      <c r="B718" s="13" t="n"/>
      <c r="C718" s="13" t="n"/>
      <c r="D718" s="13" t="n"/>
      <c r="E718" s="11" t="n"/>
      <c r="F718" s="7">
        <f>IF(A718="","",IF(OR(A718&lt;TaxStart,A718&gt;TaxEnd),"Outside tax year",IF(A718&lt;DATE(YEAR(TaxStart),7,6),"Q1",IF(A718&lt;DATE(YEAR(TaxStart),10,6),"Q2",IF(A718&lt;DATE(YEAR(TaxStart)+1,1,6),"Q3","Q4")))))</f>
        <v/>
      </c>
    </row>
    <row r="719">
      <c r="A719" s="8" t="n"/>
      <c r="B719" s="13" t="n"/>
      <c r="C719" s="13" t="n"/>
      <c r="D719" s="13" t="n"/>
      <c r="E719" s="11" t="n"/>
      <c r="F719" s="7">
        <f>IF(A719="","",IF(OR(A719&lt;TaxStart,A719&gt;TaxEnd),"Outside tax year",IF(A719&lt;DATE(YEAR(TaxStart),7,6),"Q1",IF(A719&lt;DATE(YEAR(TaxStart),10,6),"Q2",IF(A719&lt;DATE(YEAR(TaxStart)+1,1,6),"Q3","Q4")))))</f>
        <v/>
      </c>
    </row>
    <row r="720">
      <c r="A720" s="8" t="n"/>
      <c r="B720" s="13" t="n"/>
      <c r="C720" s="13" t="n"/>
      <c r="D720" s="13" t="n"/>
      <c r="E720" s="11" t="n"/>
      <c r="F720" s="7">
        <f>IF(A720="","",IF(OR(A720&lt;TaxStart,A720&gt;TaxEnd),"Outside tax year",IF(A720&lt;DATE(YEAR(TaxStart),7,6),"Q1",IF(A720&lt;DATE(YEAR(TaxStart),10,6),"Q2",IF(A720&lt;DATE(YEAR(TaxStart)+1,1,6),"Q3","Q4")))))</f>
        <v/>
      </c>
    </row>
    <row r="721">
      <c r="A721" s="8" t="n"/>
      <c r="B721" s="13" t="n"/>
      <c r="C721" s="13" t="n"/>
      <c r="D721" s="13" t="n"/>
      <c r="E721" s="11" t="n"/>
      <c r="F721" s="7">
        <f>IF(A721="","",IF(OR(A721&lt;TaxStart,A721&gt;TaxEnd),"Outside tax year",IF(A721&lt;DATE(YEAR(TaxStart),7,6),"Q1",IF(A721&lt;DATE(YEAR(TaxStart),10,6),"Q2",IF(A721&lt;DATE(YEAR(TaxStart)+1,1,6),"Q3","Q4")))))</f>
        <v/>
      </c>
    </row>
    <row r="722">
      <c r="A722" s="8" t="n"/>
      <c r="B722" s="13" t="n"/>
      <c r="C722" s="13" t="n"/>
      <c r="D722" s="13" t="n"/>
      <c r="E722" s="11" t="n"/>
      <c r="F722" s="7">
        <f>IF(A722="","",IF(OR(A722&lt;TaxStart,A722&gt;TaxEnd),"Outside tax year",IF(A722&lt;DATE(YEAR(TaxStart),7,6),"Q1",IF(A722&lt;DATE(YEAR(TaxStart),10,6),"Q2",IF(A722&lt;DATE(YEAR(TaxStart)+1,1,6),"Q3","Q4")))))</f>
        <v/>
      </c>
    </row>
    <row r="723">
      <c r="A723" s="8" t="n"/>
      <c r="B723" s="13" t="n"/>
      <c r="C723" s="13" t="n"/>
      <c r="D723" s="13" t="n"/>
      <c r="E723" s="11" t="n"/>
      <c r="F723" s="7">
        <f>IF(A723="","",IF(OR(A723&lt;TaxStart,A723&gt;TaxEnd),"Outside tax year",IF(A723&lt;DATE(YEAR(TaxStart),7,6),"Q1",IF(A723&lt;DATE(YEAR(TaxStart),10,6),"Q2",IF(A723&lt;DATE(YEAR(TaxStart)+1,1,6),"Q3","Q4")))))</f>
        <v/>
      </c>
    </row>
    <row r="724">
      <c r="A724" s="8" t="n"/>
      <c r="B724" s="13" t="n"/>
      <c r="C724" s="13" t="n"/>
      <c r="D724" s="13" t="n"/>
      <c r="E724" s="11" t="n"/>
      <c r="F724" s="7">
        <f>IF(A724="","",IF(OR(A724&lt;TaxStart,A724&gt;TaxEnd),"Outside tax year",IF(A724&lt;DATE(YEAR(TaxStart),7,6),"Q1",IF(A724&lt;DATE(YEAR(TaxStart),10,6),"Q2",IF(A724&lt;DATE(YEAR(TaxStart)+1,1,6),"Q3","Q4")))))</f>
        <v/>
      </c>
    </row>
    <row r="725">
      <c r="A725" s="8" t="n"/>
      <c r="B725" s="13" t="n"/>
      <c r="C725" s="13" t="n"/>
      <c r="D725" s="13" t="n"/>
      <c r="E725" s="11" t="n"/>
      <c r="F725" s="7">
        <f>IF(A725="","",IF(OR(A725&lt;TaxStart,A725&gt;TaxEnd),"Outside tax year",IF(A725&lt;DATE(YEAR(TaxStart),7,6),"Q1",IF(A725&lt;DATE(YEAR(TaxStart),10,6),"Q2",IF(A725&lt;DATE(YEAR(TaxStart)+1,1,6),"Q3","Q4")))))</f>
        <v/>
      </c>
    </row>
    <row r="726">
      <c r="A726" s="8" t="n"/>
      <c r="B726" s="13" t="n"/>
      <c r="C726" s="13" t="n"/>
      <c r="D726" s="13" t="n"/>
      <c r="E726" s="11" t="n"/>
      <c r="F726" s="7">
        <f>IF(A726="","",IF(OR(A726&lt;TaxStart,A726&gt;TaxEnd),"Outside tax year",IF(A726&lt;DATE(YEAR(TaxStart),7,6),"Q1",IF(A726&lt;DATE(YEAR(TaxStart),10,6),"Q2",IF(A726&lt;DATE(YEAR(TaxStart)+1,1,6),"Q3","Q4")))))</f>
        <v/>
      </c>
    </row>
    <row r="727">
      <c r="A727" s="8" t="n"/>
      <c r="B727" s="13" t="n"/>
      <c r="C727" s="13" t="n"/>
      <c r="D727" s="13" t="n"/>
      <c r="E727" s="11" t="n"/>
      <c r="F727" s="7">
        <f>IF(A727="","",IF(OR(A727&lt;TaxStart,A727&gt;TaxEnd),"Outside tax year",IF(A727&lt;DATE(YEAR(TaxStart),7,6),"Q1",IF(A727&lt;DATE(YEAR(TaxStart),10,6),"Q2",IF(A727&lt;DATE(YEAR(TaxStart)+1,1,6),"Q3","Q4")))))</f>
        <v/>
      </c>
    </row>
    <row r="728">
      <c r="A728" s="8" t="n"/>
      <c r="B728" s="13" t="n"/>
      <c r="C728" s="13" t="n"/>
      <c r="D728" s="13" t="n"/>
      <c r="E728" s="11" t="n"/>
      <c r="F728" s="7">
        <f>IF(A728="","",IF(OR(A728&lt;TaxStart,A728&gt;TaxEnd),"Outside tax year",IF(A728&lt;DATE(YEAR(TaxStart),7,6),"Q1",IF(A728&lt;DATE(YEAR(TaxStart),10,6),"Q2",IF(A728&lt;DATE(YEAR(TaxStart)+1,1,6),"Q3","Q4")))))</f>
        <v/>
      </c>
    </row>
    <row r="729">
      <c r="A729" s="8" t="n"/>
      <c r="B729" s="13" t="n"/>
      <c r="C729" s="13" t="n"/>
      <c r="D729" s="13" t="n"/>
      <c r="E729" s="11" t="n"/>
      <c r="F729" s="7">
        <f>IF(A729="","",IF(OR(A729&lt;TaxStart,A729&gt;TaxEnd),"Outside tax year",IF(A729&lt;DATE(YEAR(TaxStart),7,6),"Q1",IF(A729&lt;DATE(YEAR(TaxStart),10,6),"Q2",IF(A729&lt;DATE(YEAR(TaxStart)+1,1,6),"Q3","Q4")))))</f>
        <v/>
      </c>
    </row>
    <row r="730">
      <c r="A730" s="8" t="n"/>
      <c r="B730" s="13" t="n"/>
      <c r="C730" s="13" t="n"/>
      <c r="D730" s="13" t="n"/>
      <c r="E730" s="11" t="n"/>
      <c r="F730" s="7">
        <f>IF(A730="","",IF(OR(A730&lt;TaxStart,A730&gt;TaxEnd),"Outside tax year",IF(A730&lt;DATE(YEAR(TaxStart),7,6),"Q1",IF(A730&lt;DATE(YEAR(TaxStart),10,6),"Q2",IF(A730&lt;DATE(YEAR(TaxStart)+1,1,6),"Q3","Q4")))))</f>
        <v/>
      </c>
    </row>
    <row r="731">
      <c r="A731" s="8" t="n"/>
      <c r="B731" s="13" t="n"/>
      <c r="C731" s="13" t="n"/>
      <c r="D731" s="13" t="n"/>
      <c r="E731" s="11" t="n"/>
      <c r="F731" s="7">
        <f>IF(A731="","",IF(OR(A731&lt;TaxStart,A731&gt;TaxEnd),"Outside tax year",IF(A731&lt;DATE(YEAR(TaxStart),7,6),"Q1",IF(A731&lt;DATE(YEAR(TaxStart),10,6),"Q2",IF(A731&lt;DATE(YEAR(TaxStart)+1,1,6),"Q3","Q4")))))</f>
        <v/>
      </c>
    </row>
    <row r="732">
      <c r="A732" s="8" t="n"/>
      <c r="B732" s="13" t="n"/>
      <c r="C732" s="13" t="n"/>
      <c r="D732" s="13" t="n"/>
      <c r="E732" s="11" t="n"/>
      <c r="F732" s="7">
        <f>IF(A732="","",IF(OR(A732&lt;TaxStart,A732&gt;TaxEnd),"Outside tax year",IF(A732&lt;DATE(YEAR(TaxStart),7,6),"Q1",IF(A732&lt;DATE(YEAR(TaxStart),10,6),"Q2",IF(A732&lt;DATE(YEAR(TaxStart)+1,1,6),"Q3","Q4")))))</f>
        <v/>
      </c>
    </row>
    <row r="733">
      <c r="A733" s="8" t="n"/>
      <c r="B733" s="13" t="n"/>
      <c r="C733" s="13" t="n"/>
      <c r="D733" s="13" t="n"/>
      <c r="E733" s="11" t="n"/>
      <c r="F733" s="7">
        <f>IF(A733="","",IF(OR(A733&lt;TaxStart,A733&gt;TaxEnd),"Outside tax year",IF(A733&lt;DATE(YEAR(TaxStart),7,6),"Q1",IF(A733&lt;DATE(YEAR(TaxStart),10,6),"Q2",IF(A733&lt;DATE(YEAR(TaxStart)+1,1,6),"Q3","Q4")))))</f>
        <v/>
      </c>
    </row>
    <row r="734">
      <c r="A734" s="8" t="n"/>
      <c r="B734" s="13" t="n"/>
      <c r="C734" s="13" t="n"/>
      <c r="D734" s="13" t="n"/>
      <c r="E734" s="11" t="n"/>
      <c r="F734" s="7">
        <f>IF(A734="","",IF(OR(A734&lt;TaxStart,A734&gt;TaxEnd),"Outside tax year",IF(A734&lt;DATE(YEAR(TaxStart),7,6),"Q1",IF(A734&lt;DATE(YEAR(TaxStart),10,6),"Q2",IF(A734&lt;DATE(YEAR(TaxStart)+1,1,6),"Q3","Q4")))))</f>
        <v/>
      </c>
    </row>
    <row r="735">
      <c r="A735" s="8" t="n"/>
      <c r="B735" s="13" t="n"/>
      <c r="C735" s="13" t="n"/>
      <c r="D735" s="13" t="n"/>
      <c r="E735" s="11" t="n"/>
      <c r="F735" s="7">
        <f>IF(A735="","",IF(OR(A735&lt;TaxStart,A735&gt;TaxEnd),"Outside tax year",IF(A735&lt;DATE(YEAR(TaxStart),7,6),"Q1",IF(A735&lt;DATE(YEAR(TaxStart),10,6),"Q2",IF(A735&lt;DATE(YEAR(TaxStart)+1,1,6),"Q3","Q4")))))</f>
        <v/>
      </c>
    </row>
    <row r="736">
      <c r="A736" s="8" t="n"/>
      <c r="B736" s="13" t="n"/>
      <c r="C736" s="13" t="n"/>
      <c r="D736" s="13" t="n"/>
      <c r="E736" s="11" t="n"/>
      <c r="F736" s="7">
        <f>IF(A736="","",IF(OR(A736&lt;TaxStart,A736&gt;TaxEnd),"Outside tax year",IF(A736&lt;DATE(YEAR(TaxStart),7,6),"Q1",IF(A736&lt;DATE(YEAR(TaxStart),10,6),"Q2",IF(A736&lt;DATE(YEAR(TaxStart)+1,1,6),"Q3","Q4")))))</f>
        <v/>
      </c>
    </row>
    <row r="737">
      <c r="A737" s="8" t="n"/>
      <c r="B737" s="13" t="n"/>
      <c r="C737" s="13" t="n"/>
      <c r="D737" s="13" t="n"/>
      <c r="E737" s="11" t="n"/>
      <c r="F737" s="7">
        <f>IF(A737="","",IF(OR(A737&lt;TaxStart,A737&gt;TaxEnd),"Outside tax year",IF(A737&lt;DATE(YEAR(TaxStart),7,6),"Q1",IF(A737&lt;DATE(YEAR(TaxStart),10,6),"Q2",IF(A737&lt;DATE(YEAR(TaxStart)+1,1,6),"Q3","Q4")))))</f>
        <v/>
      </c>
    </row>
    <row r="738">
      <c r="A738" s="8" t="n"/>
      <c r="B738" s="13" t="n"/>
      <c r="C738" s="13" t="n"/>
      <c r="D738" s="13" t="n"/>
      <c r="E738" s="11" t="n"/>
      <c r="F738" s="7">
        <f>IF(A738="","",IF(OR(A738&lt;TaxStart,A738&gt;TaxEnd),"Outside tax year",IF(A738&lt;DATE(YEAR(TaxStart),7,6),"Q1",IF(A738&lt;DATE(YEAR(TaxStart),10,6),"Q2",IF(A738&lt;DATE(YEAR(TaxStart)+1,1,6),"Q3","Q4")))))</f>
        <v/>
      </c>
    </row>
    <row r="739">
      <c r="A739" s="8" t="n"/>
      <c r="B739" s="13" t="n"/>
      <c r="C739" s="13" t="n"/>
      <c r="D739" s="13" t="n"/>
      <c r="E739" s="11" t="n"/>
      <c r="F739" s="7">
        <f>IF(A739="","",IF(OR(A739&lt;TaxStart,A739&gt;TaxEnd),"Outside tax year",IF(A739&lt;DATE(YEAR(TaxStart),7,6),"Q1",IF(A739&lt;DATE(YEAR(TaxStart),10,6),"Q2",IF(A739&lt;DATE(YEAR(TaxStart)+1,1,6),"Q3","Q4")))))</f>
        <v/>
      </c>
    </row>
    <row r="740">
      <c r="A740" s="8" t="n"/>
      <c r="B740" s="13" t="n"/>
      <c r="C740" s="13" t="n"/>
      <c r="D740" s="13" t="n"/>
      <c r="E740" s="11" t="n"/>
      <c r="F740" s="7">
        <f>IF(A740="","",IF(OR(A740&lt;TaxStart,A740&gt;TaxEnd),"Outside tax year",IF(A740&lt;DATE(YEAR(TaxStart),7,6),"Q1",IF(A740&lt;DATE(YEAR(TaxStart),10,6),"Q2",IF(A740&lt;DATE(YEAR(TaxStart)+1,1,6),"Q3","Q4")))))</f>
        <v/>
      </c>
    </row>
    <row r="741">
      <c r="A741" s="8" t="n"/>
      <c r="B741" s="13" t="n"/>
      <c r="C741" s="13" t="n"/>
      <c r="D741" s="13" t="n"/>
      <c r="E741" s="11" t="n"/>
      <c r="F741" s="7">
        <f>IF(A741="","",IF(OR(A741&lt;TaxStart,A741&gt;TaxEnd),"Outside tax year",IF(A741&lt;DATE(YEAR(TaxStart),7,6),"Q1",IF(A741&lt;DATE(YEAR(TaxStart),10,6),"Q2",IF(A741&lt;DATE(YEAR(TaxStart)+1,1,6),"Q3","Q4")))))</f>
        <v/>
      </c>
    </row>
    <row r="742">
      <c r="A742" s="8" t="n"/>
      <c r="B742" s="13" t="n"/>
      <c r="C742" s="13" t="n"/>
      <c r="D742" s="13" t="n"/>
      <c r="E742" s="11" t="n"/>
      <c r="F742" s="7">
        <f>IF(A742="","",IF(OR(A742&lt;TaxStart,A742&gt;TaxEnd),"Outside tax year",IF(A742&lt;DATE(YEAR(TaxStart),7,6),"Q1",IF(A742&lt;DATE(YEAR(TaxStart),10,6),"Q2",IF(A742&lt;DATE(YEAR(TaxStart)+1,1,6),"Q3","Q4")))))</f>
        <v/>
      </c>
    </row>
    <row r="743">
      <c r="A743" s="8" t="n"/>
      <c r="B743" s="13" t="n"/>
      <c r="C743" s="13" t="n"/>
      <c r="D743" s="13" t="n"/>
      <c r="E743" s="11" t="n"/>
      <c r="F743" s="7">
        <f>IF(A743="","",IF(OR(A743&lt;TaxStart,A743&gt;TaxEnd),"Outside tax year",IF(A743&lt;DATE(YEAR(TaxStart),7,6),"Q1",IF(A743&lt;DATE(YEAR(TaxStart),10,6),"Q2",IF(A743&lt;DATE(YEAR(TaxStart)+1,1,6),"Q3","Q4")))))</f>
        <v/>
      </c>
    </row>
    <row r="744">
      <c r="A744" s="8" t="n"/>
      <c r="B744" s="13" t="n"/>
      <c r="C744" s="13" t="n"/>
      <c r="D744" s="13" t="n"/>
      <c r="E744" s="11" t="n"/>
      <c r="F744" s="7">
        <f>IF(A744="","",IF(OR(A744&lt;TaxStart,A744&gt;TaxEnd),"Outside tax year",IF(A744&lt;DATE(YEAR(TaxStart),7,6),"Q1",IF(A744&lt;DATE(YEAR(TaxStart),10,6),"Q2",IF(A744&lt;DATE(YEAR(TaxStart)+1,1,6),"Q3","Q4")))))</f>
        <v/>
      </c>
    </row>
    <row r="745">
      <c r="A745" s="8" t="n"/>
      <c r="B745" s="13" t="n"/>
      <c r="C745" s="13" t="n"/>
      <c r="D745" s="13" t="n"/>
      <c r="E745" s="11" t="n"/>
      <c r="F745" s="7">
        <f>IF(A745="","",IF(OR(A745&lt;TaxStart,A745&gt;TaxEnd),"Outside tax year",IF(A745&lt;DATE(YEAR(TaxStart),7,6),"Q1",IF(A745&lt;DATE(YEAR(TaxStart),10,6),"Q2",IF(A745&lt;DATE(YEAR(TaxStart)+1,1,6),"Q3","Q4")))))</f>
        <v/>
      </c>
    </row>
    <row r="746">
      <c r="A746" s="8" t="n"/>
      <c r="B746" s="13" t="n"/>
      <c r="C746" s="13" t="n"/>
      <c r="D746" s="13" t="n"/>
      <c r="E746" s="11" t="n"/>
      <c r="F746" s="7">
        <f>IF(A746="","",IF(OR(A746&lt;TaxStart,A746&gt;TaxEnd),"Outside tax year",IF(A746&lt;DATE(YEAR(TaxStart),7,6),"Q1",IF(A746&lt;DATE(YEAR(TaxStart),10,6),"Q2",IF(A746&lt;DATE(YEAR(TaxStart)+1,1,6),"Q3","Q4")))))</f>
        <v/>
      </c>
    </row>
    <row r="747">
      <c r="A747" s="8" t="n"/>
      <c r="B747" s="13" t="n"/>
      <c r="C747" s="13" t="n"/>
      <c r="D747" s="13" t="n"/>
      <c r="E747" s="11" t="n"/>
      <c r="F747" s="7">
        <f>IF(A747="","",IF(OR(A747&lt;TaxStart,A747&gt;TaxEnd),"Outside tax year",IF(A747&lt;DATE(YEAR(TaxStart),7,6),"Q1",IF(A747&lt;DATE(YEAR(TaxStart),10,6),"Q2",IF(A747&lt;DATE(YEAR(TaxStart)+1,1,6),"Q3","Q4")))))</f>
        <v/>
      </c>
    </row>
    <row r="748">
      <c r="A748" s="8" t="n"/>
      <c r="B748" s="13" t="n"/>
      <c r="C748" s="13" t="n"/>
      <c r="D748" s="13" t="n"/>
      <c r="E748" s="11" t="n"/>
      <c r="F748" s="7">
        <f>IF(A748="","",IF(OR(A748&lt;TaxStart,A748&gt;TaxEnd),"Outside tax year",IF(A748&lt;DATE(YEAR(TaxStart),7,6),"Q1",IF(A748&lt;DATE(YEAR(TaxStart),10,6),"Q2",IF(A748&lt;DATE(YEAR(TaxStart)+1,1,6),"Q3","Q4")))))</f>
        <v/>
      </c>
    </row>
    <row r="749">
      <c r="A749" s="8" t="n"/>
      <c r="B749" s="13" t="n"/>
      <c r="C749" s="13" t="n"/>
      <c r="D749" s="13" t="n"/>
      <c r="E749" s="11" t="n"/>
      <c r="F749" s="7">
        <f>IF(A749="","",IF(OR(A749&lt;TaxStart,A749&gt;TaxEnd),"Outside tax year",IF(A749&lt;DATE(YEAR(TaxStart),7,6),"Q1",IF(A749&lt;DATE(YEAR(TaxStart),10,6),"Q2",IF(A749&lt;DATE(YEAR(TaxStart)+1,1,6),"Q3","Q4")))))</f>
        <v/>
      </c>
    </row>
    <row r="750">
      <c r="A750" s="8" t="n"/>
      <c r="B750" s="13" t="n"/>
      <c r="C750" s="13" t="n"/>
      <c r="D750" s="13" t="n"/>
      <c r="E750" s="11" t="n"/>
      <c r="F750" s="7">
        <f>IF(A750="","",IF(OR(A750&lt;TaxStart,A750&gt;TaxEnd),"Outside tax year",IF(A750&lt;DATE(YEAR(TaxStart),7,6),"Q1",IF(A750&lt;DATE(YEAR(TaxStart),10,6),"Q2",IF(A750&lt;DATE(YEAR(TaxStart)+1,1,6),"Q3","Q4")))))</f>
        <v/>
      </c>
    </row>
    <row r="751">
      <c r="A751" s="8" t="n"/>
      <c r="B751" s="13" t="n"/>
      <c r="C751" s="13" t="n"/>
      <c r="D751" s="13" t="n"/>
      <c r="E751" s="11" t="n"/>
      <c r="F751" s="7">
        <f>IF(A751="","",IF(OR(A751&lt;TaxStart,A751&gt;TaxEnd),"Outside tax year",IF(A751&lt;DATE(YEAR(TaxStart),7,6),"Q1",IF(A751&lt;DATE(YEAR(TaxStart),10,6),"Q2",IF(A751&lt;DATE(YEAR(TaxStart)+1,1,6),"Q3","Q4")))))</f>
        <v/>
      </c>
    </row>
    <row r="752">
      <c r="A752" s="8" t="n"/>
      <c r="B752" s="13" t="n"/>
      <c r="C752" s="13" t="n"/>
      <c r="D752" s="13" t="n"/>
      <c r="E752" s="11" t="n"/>
      <c r="F752" s="7">
        <f>IF(A752="","",IF(OR(A752&lt;TaxStart,A752&gt;TaxEnd),"Outside tax year",IF(A752&lt;DATE(YEAR(TaxStart),7,6),"Q1",IF(A752&lt;DATE(YEAR(TaxStart),10,6),"Q2",IF(A752&lt;DATE(YEAR(TaxStart)+1,1,6),"Q3","Q4")))))</f>
        <v/>
      </c>
    </row>
    <row r="753">
      <c r="A753" s="8" t="n"/>
      <c r="B753" s="13" t="n"/>
      <c r="C753" s="13" t="n"/>
      <c r="D753" s="13" t="n"/>
      <c r="E753" s="11" t="n"/>
      <c r="F753" s="7">
        <f>IF(A753="","",IF(OR(A753&lt;TaxStart,A753&gt;TaxEnd),"Outside tax year",IF(A753&lt;DATE(YEAR(TaxStart),7,6),"Q1",IF(A753&lt;DATE(YEAR(TaxStart),10,6),"Q2",IF(A753&lt;DATE(YEAR(TaxStart)+1,1,6),"Q3","Q4")))))</f>
        <v/>
      </c>
    </row>
    <row r="754">
      <c r="A754" s="8" t="n"/>
      <c r="B754" s="13" t="n"/>
      <c r="C754" s="13" t="n"/>
      <c r="D754" s="13" t="n"/>
      <c r="E754" s="11" t="n"/>
      <c r="F754" s="7">
        <f>IF(A754="","",IF(OR(A754&lt;TaxStart,A754&gt;TaxEnd),"Outside tax year",IF(A754&lt;DATE(YEAR(TaxStart),7,6),"Q1",IF(A754&lt;DATE(YEAR(TaxStart),10,6),"Q2",IF(A754&lt;DATE(YEAR(TaxStart)+1,1,6),"Q3","Q4")))))</f>
        <v/>
      </c>
    </row>
    <row r="755">
      <c r="A755" s="8" t="n"/>
      <c r="B755" s="13" t="n"/>
      <c r="C755" s="13" t="n"/>
      <c r="D755" s="13" t="n"/>
      <c r="E755" s="11" t="n"/>
      <c r="F755" s="7">
        <f>IF(A755="","",IF(OR(A755&lt;TaxStart,A755&gt;TaxEnd),"Outside tax year",IF(A755&lt;DATE(YEAR(TaxStart),7,6),"Q1",IF(A755&lt;DATE(YEAR(TaxStart),10,6),"Q2",IF(A755&lt;DATE(YEAR(TaxStart)+1,1,6),"Q3","Q4")))))</f>
        <v/>
      </c>
    </row>
    <row r="756">
      <c r="A756" s="8" t="n"/>
      <c r="B756" s="13" t="n"/>
      <c r="C756" s="13" t="n"/>
      <c r="D756" s="13" t="n"/>
      <c r="E756" s="11" t="n"/>
      <c r="F756" s="7">
        <f>IF(A756="","",IF(OR(A756&lt;TaxStart,A756&gt;TaxEnd),"Outside tax year",IF(A756&lt;DATE(YEAR(TaxStart),7,6),"Q1",IF(A756&lt;DATE(YEAR(TaxStart),10,6),"Q2",IF(A756&lt;DATE(YEAR(TaxStart)+1,1,6),"Q3","Q4")))))</f>
        <v/>
      </c>
    </row>
    <row r="757">
      <c r="A757" s="8" t="n"/>
      <c r="B757" s="13" t="n"/>
      <c r="C757" s="13" t="n"/>
      <c r="D757" s="13" t="n"/>
      <c r="E757" s="11" t="n"/>
      <c r="F757" s="7">
        <f>IF(A757="","",IF(OR(A757&lt;TaxStart,A757&gt;TaxEnd),"Outside tax year",IF(A757&lt;DATE(YEAR(TaxStart),7,6),"Q1",IF(A757&lt;DATE(YEAR(TaxStart),10,6),"Q2",IF(A757&lt;DATE(YEAR(TaxStart)+1,1,6),"Q3","Q4")))))</f>
        <v/>
      </c>
    </row>
    <row r="758">
      <c r="A758" s="8" t="n"/>
      <c r="B758" s="13" t="n"/>
      <c r="C758" s="13" t="n"/>
      <c r="D758" s="13" t="n"/>
      <c r="E758" s="11" t="n"/>
      <c r="F758" s="7">
        <f>IF(A758="","",IF(OR(A758&lt;TaxStart,A758&gt;TaxEnd),"Outside tax year",IF(A758&lt;DATE(YEAR(TaxStart),7,6),"Q1",IF(A758&lt;DATE(YEAR(TaxStart),10,6),"Q2",IF(A758&lt;DATE(YEAR(TaxStart)+1,1,6),"Q3","Q4")))))</f>
        <v/>
      </c>
    </row>
    <row r="759">
      <c r="A759" s="8" t="n"/>
      <c r="B759" s="13" t="n"/>
      <c r="C759" s="13" t="n"/>
      <c r="D759" s="13" t="n"/>
      <c r="E759" s="11" t="n"/>
      <c r="F759" s="7">
        <f>IF(A759="","",IF(OR(A759&lt;TaxStart,A759&gt;TaxEnd),"Outside tax year",IF(A759&lt;DATE(YEAR(TaxStart),7,6),"Q1",IF(A759&lt;DATE(YEAR(TaxStart),10,6),"Q2",IF(A759&lt;DATE(YEAR(TaxStart)+1,1,6),"Q3","Q4")))))</f>
        <v/>
      </c>
    </row>
    <row r="760">
      <c r="A760" s="8" t="n"/>
      <c r="B760" s="13" t="n"/>
      <c r="C760" s="13" t="n"/>
      <c r="D760" s="13" t="n"/>
      <c r="E760" s="11" t="n"/>
      <c r="F760" s="7">
        <f>IF(A760="","",IF(OR(A760&lt;TaxStart,A760&gt;TaxEnd),"Outside tax year",IF(A760&lt;DATE(YEAR(TaxStart),7,6),"Q1",IF(A760&lt;DATE(YEAR(TaxStart),10,6),"Q2",IF(A760&lt;DATE(YEAR(TaxStart)+1,1,6),"Q3","Q4")))))</f>
        <v/>
      </c>
    </row>
    <row r="761">
      <c r="A761" s="8" t="n"/>
      <c r="B761" s="13" t="n"/>
      <c r="C761" s="13" t="n"/>
      <c r="D761" s="13" t="n"/>
      <c r="E761" s="11" t="n"/>
      <c r="F761" s="7">
        <f>IF(A761="","",IF(OR(A761&lt;TaxStart,A761&gt;TaxEnd),"Outside tax year",IF(A761&lt;DATE(YEAR(TaxStart),7,6),"Q1",IF(A761&lt;DATE(YEAR(TaxStart),10,6),"Q2",IF(A761&lt;DATE(YEAR(TaxStart)+1,1,6),"Q3","Q4")))))</f>
        <v/>
      </c>
    </row>
    <row r="762">
      <c r="A762" s="8" t="n"/>
      <c r="B762" s="13" t="n"/>
      <c r="C762" s="13" t="n"/>
      <c r="D762" s="13" t="n"/>
      <c r="E762" s="11" t="n"/>
      <c r="F762" s="7">
        <f>IF(A762="","",IF(OR(A762&lt;TaxStart,A762&gt;TaxEnd),"Outside tax year",IF(A762&lt;DATE(YEAR(TaxStart),7,6),"Q1",IF(A762&lt;DATE(YEAR(TaxStart),10,6),"Q2",IF(A762&lt;DATE(YEAR(TaxStart)+1,1,6),"Q3","Q4")))))</f>
        <v/>
      </c>
    </row>
    <row r="763">
      <c r="A763" s="8" t="n"/>
      <c r="B763" s="13" t="n"/>
      <c r="C763" s="13" t="n"/>
      <c r="D763" s="13" t="n"/>
      <c r="E763" s="11" t="n"/>
      <c r="F763" s="7">
        <f>IF(A763="","",IF(OR(A763&lt;TaxStart,A763&gt;TaxEnd),"Outside tax year",IF(A763&lt;DATE(YEAR(TaxStart),7,6),"Q1",IF(A763&lt;DATE(YEAR(TaxStart),10,6),"Q2",IF(A763&lt;DATE(YEAR(TaxStart)+1,1,6),"Q3","Q4")))))</f>
        <v/>
      </c>
    </row>
    <row r="764">
      <c r="A764" s="8" t="n"/>
      <c r="B764" s="13" t="n"/>
      <c r="C764" s="13" t="n"/>
      <c r="D764" s="13" t="n"/>
      <c r="E764" s="11" t="n"/>
      <c r="F764" s="7">
        <f>IF(A764="","",IF(OR(A764&lt;TaxStart,A764&gt;TaxEnd),"Outside tax year",IF(A764&lt;DATE(YEAR(TaxStart),7,6),"Q1",IF(A764&lt;DATE(YEAR(TaxStart),10,6),"Q2",IF(A764&lt;DATE(YEAR(TaxStart)+1,1,6),"Q3","Q4")))))</f>
        <v/>
      </c>
    </row>
    <row r="765">
      <c r="A765" s="8" t="n"/>
      <c r="B765" s="13" t="n"/>
      <c r="C765" s="13" t="n"/>
      <c r="D765" s="13" t="n"/>
      <c r="E765" s="11" t="n"/>
      <c r="F765" s="7">
        <f>IF(A765="","",IF(OR(A765&lt;TaxStart,A765&gt;TaxEnd),"Outside tax year",IF(A765&lt;DATE(YEAR(TaxStart),7,6),"Q1",IF(A765&lt;DATE(YEAR(TaxStart),10,6),"Q2",IF(A765&lt;DATE(YEAR(TaxStart)+1,1,6),"Q3","Q4")))))</f>
        <v/>
      </c>
    </row>
    <row r="766">
      <c r="A766" s="8" t="n"/>
      <c r="B766" s="13" t="n"/>
      <c r="C766" s="13" t="n"/>
      <c r="D766" s="13" t="n"/>
      <c r="E766" s="11" t="n"/>
      <c r="F766" s="7">
        <f>IF(A766="","",IF(OR(A766&lt;TaxStart,A766&gt;TaxEnd),"Outside tax year",IF(A766&lt;DATE(YEAR(TaxStart),7,6),"Q1",IF(A766&lt;DATE(YEAR(TaxStart),10,6),"Q2",IF(A766&lt;DATE(YEAR(TaxStart)+1,1,6),"Q3","Q4")))))</f>
        <v/>
      </c>
    </row>
    <row r="767">
      <c r="A767" s="8" t="n"/>
      <c r="B767" s="13" t="n"/>
      <c r="C767" s="13" t="n"/>
      <c r="D767" s="13" t="n"/>
      <c r="E767" s="11" t="n"/>
      <c r="F767" s="7">
        <f>IF(A767="","",IF(OR(A767&lt;TaxStart,A767&gt;TaxEnd),"Outside tax year",IF(A767&lt;DATE(YEAR(TaxStart),7,6),"Q1",IF(A767&lt;DATE(YEAR(TaxStart),10,6),"Q2",IF(A767&lt;DATE(YEAR(TaxStart)+1,1,6),"Q3","Q4")))))</f>
        <v/>
      </c>
    </row>
    <row r="768">
      <c r="A768" s="8" t="n"/>
      <c r="B768" s="13" t="n"/>
      <c r="C768" s="13" t="n"/>
      <c r="D768" s="13" t="n"/>
      <c r="E768" s="11" t="n"/>
      <c r="F768" s="7">
        <f>IF(A768="","",IF(OR(A768&lt;TaxStart,A768&gt;TaxEnd),"Outside tax year",IF(A768&lt;DATE(YEAR(TaxStart),7,6),"Q1",IF(A768&lt;DATE(YEAR(TaxStart),10,6),"Q2",IF(A768&lt;DATE(YEAR(TaxStart)+1,1,6),"Q3","Q4")))))</f>
        <v/>
      </c>
    </row>
    <row r="769">
      <c r="A769" s="8" t="n"/>
      <c r="B769" s="13" t="n"/>
      <c r="C769" s="13" t="n"/>
      <c r="D769" s="13" t="n"/>
      <c r="E769" s="11" t="n"/>
      <c r="F769" s="7">
        <f>IF(A769="","",IF(OR(A769&lt;TaxStart,A769&gt;TaxEnd),"Outside tax year",IF(A769&lt;DATE(YEAR(TaxStart),7,6),"Q1",IF(A769&lt;DATE(YEAR(TaxStart),10,6),"Q2",IF(A769&lt;DATE(YEAR(TaxStart)+1,1,6),"Q3","Q4")))))</f>
        <v/>
      </c>
    </row>
    <row r="770">
      <c r="A770" s="8" t="n"/>
      <c r="B770" s="13" t="n"/>
      <c r="C770" s="13" t="n"/>
      <c r="D770" s="13" t="n"/>
      <c r="E770" s="11" t="n"/>
      <c r="F770" s="7">
        <f>IF(A770="","",IF(OR(A770&lt;TaxStart,A770&gt;TaxEnd),"Outside tax year",IF(A770&lt;DATE(YEAR(TaxStart),7,6),"Q1",IF(A770&lt;DATE(YEAR(TaxStart),10,6),"Q2",IF(A770&lt;DATE(YEAR(TaxStart)+1,1,6),"Q3","Q4")))))</f>
        <v/>
      </c>
    </row>
    <row r="771">
      <c r="A771" s="8" t="n"/>
      <c r="B771" s="13" t="n"/>
      <c r="C771" s="13" t="n"/>
      <c r="D771" s="13" t="n"/>
      <c r="E771" s="11" t="n"/>
      <c r="F771" s="7">
        <f>IF(A771="","",IF(OR(A771&lt;TaxStart,A771&gt;TaxEnd),"Outside tax year",IF(A771&lt;DATE(YEAR(TaxStart),7,6),"Q1",IF(A771&lt;DATE(YEAR(TaxStart),10,6),"Q2",IF(A771&lt;DATE(YEAR(TaxStart)+1,1,6),"Q3","Q4")))))</f>
        <v/>
      </c>
    </row>
    <row r="772">
      <c r="A772" s="8" t="n"/>
      <c r="B772" s="13" t="n"/>
      <c r="C772" s="13" t="n"/>
      <c r="D772" s="13" t="n"/>
      <c r="E772" s="11" t="n"/>
      <c r="F772" s="7">
        <f>IF(A772="","",IF(OR(A772&lt;TaxStart,A772&gt;TaxEnd),"Outside tax year",IF(A772&lt;DATE(YEAR(TaxStart),7,6),"Q1",IF(A772&lt;DATE(YEAR(TaxStart),10,6),"Q2",IF(A772&lt;DATE(YEAR(TaxStart)+1,1,6),"Q3","Q4")))))</f>
        <v/>
      </c>
    </row>
    <row r="773">
      <c r="A773" s="8" t="n"/>
      <c r="B773" s="13" t="n"/>
      <c r="C773" s="13" t="n"/>
      <c r="D773" s="13" t="n"/>
      <c r="E773" s="11" t="n"/>
      <c r="F773" s="7">
        <f>IF(A773="","",IF(OR(A773&lt;TaxStart,A773&gt;TaxEnd),"Outside tax year",IF(A773&lt;DATE(YEAR(TaxStart),7,6),"Q1",IF(A773&lt;DATE(YEAR(TaxStart),10,6),"Q2",IF(A773&lt;DATE(YEAR(TaxStart)+1,1,6),"Q3","Q4")))))</f>
        <v/>
      </c>
    </row>
    <row r="774">
      <c r="A774" s="8" t="n"/>
      <c r="B774" s="13" t="n"/>
      <c r="C774" s="13" t="n"/>
      <c r="D774" s="13" t="n"/>
      <c r="E774" s="11" t="n"/>
      <c r="F774" s="7">
        <f>IF(A774="","",IF(OR(A774&lt;TaxStart,A774&gt;TaxEnd),"Outside tax year",IF(A774&lt;DATE(YEAR(TaxStart),7,6),"Q1",IF(A774&lt;DATE(YEAR(TaxStart),10,6),"Q2",IF(A774&lt;DATE(YEAR(TaxStart)+1,1,6),"Q3","Q4")))))</f>
        <v/>
      </c>
    </row>
    <row r="775">
      <c r="A775" s="8" t="n"/>
      <c r="B775" s="13" t="n"/>
      <c r="C775" s="13" t="n"/>
      <c r="D775" s="13" t="n"/>
      <c r="E775" s="11" t="n"/>
      <c r="F775" s="7">
        <f>IF(A775="","",IF(OR(A775&lt;TaxStart,A775&gt;TaxEnd),"Outside tax year",IF(A775&lt;DATE(YEAR(TaxStart),7,6),"Q1",IF(A775&lt;DATE(YEAR(TaxStart),10,6),"Q2",IF(A775&lt;DATE(YEAR(TaxStart)+1,1,6),"Q3","Q4")))))</f>
        <v/>
      </c>
    </row>
    <row r="776">
      <c r="A776" s="8" t="n"/>
      <c r="B776" s="13" t="n"/>
      <c r="C776" s="13" t="n"/>
      <c r="D776" s="13" t="n"/>
      <c r="E776" s="11" t="n"/>
      <c r="F776" s="7">
        <f>IF(A776="","",IF(OR(A776&lt;TaxStart,A776&gt;TaxEnd),"Outside tax year",IF(A776&lt;DATE(YEAR(TaxStart),7,6),"Q1",IF(A776&lt;DATE(YEAR(TaxStart),10,6),"Q2",IF(A776&lt;DATE(YEAR(TaxStart)+1,1,6),"Q3","Q4")))))</f>
        <v/>
      </c>
    </row>
    <row r="777">
      <c r="A777" s="8" t="n"/>
      <c r="B777" s="13" t="n"/>
      <c r="C777" s="13" t="n"/>
      <c r="D777" s="13" t="n"/>
      <c r="E777" s="11" t="n"/>
      <c r="F777" s="7">
        <f>IF(A777="","",IF(OR(A777&lt;TaxStart,A777&gt;TaxEnd),"Outside tax year",IF(A777&lt;DATE(YEAR(TaxStart),7,6),"Q1",IF(A777&lt;DATE(YEAR(TaxStart),10,6),"Q2",IF(A777&lt;DATE(YEAR(TaxStart)+1,1,6),"Q3","Q4")))))</f>
        <v/>
      </c>
    </row>
    <row r="778">
      <c r="A778" s="8" t="n"/>
      <c r="B778" s="13" t="n"/>
      <c r="C778" s="13" t="n"/>
      <c r="D778" s="13" t="n"/>
      <c r="E778" s="11" t="n"/>
      <c r="F778" s="7">
        <f>IF(A778="","",IF(OR(A778&lt;TaxStart,A778&gt;TaxEnd),"Outside tax year",IF(A778&lt;DATE(YEAR(TaxStart),7,6),"Q1",IF(A778&lt;DATE(YEAR(TaxStart),10,6),"Q2",IF(A778&lt;DATE(YEAR(TaxStart)+1,1,6),"Q3","Q4")))))</f>
        <v/>
      </c>
    </row>
    <row r="779">
      <c r="A779" s="8" t="n"/>
      <c r="B779" s="13" t="n"/>
      <c r="C779" s="13" t="n"/>
      <c r="D779" s="13" t="n"/>
      <c r="E779" s="11" t="n"/>
      <c r="F779" s="7">
        <f>IF(A779="","",IF(OR(A779&lt;TaxStart,A779&gt;TaxEnd),"Outside tax year",IF(A779&lt;DATE(YEAR(TaxStart),7,6),"Q1",IF(A779&lt;DATE(YEAR(TaxStart),10,6),"Q2",IF(A779&lt;DATE(YEAR(TaxStart)+1,1,6),"Q3","Q4")))))</f>
        <v/>
      </c>
    </row>
    <row r="780">
      <c r="A780" s="8" t="n"/>
      <c r="B780" s="13" t="n"/>
      <c r="C780" s="13" t="n"/>
      <c r="D780" s="13" t="n"/>
      <c r="E780" s="11" t="n"/>
      <c r="F780" s="7">
        <f>IF(A780="","",IF(OR(A780&lt;TaxStart,A780&gt;TaxEnd),"Outside tax year",IF(A780&lt;DATE(YEAR(TaxStart),7,6),"Q1",IF(A780&lt;DATE(YEAR(TaxStart),10,6),"Q2",IF(A780&lt;DATE(YEAR(TaxStart)+1,1,6),"Q3","Q4")))))</f>
        <v/>
      </c>
    </row>
    <row r="781">
      <c r="A781" s="8" t="n"/>
      <c r="B781" s="13" t="n"/>
      <c r="C781" s="13" t="n"/>
      <c r="D781" s="13" t="n"/>
      <c r="E781" s="11" t="n"/>
      <c r="F781" s="7">
        <f>IF(A781="","",IF(OR(A781&lt;TaxStart,A781&gt;TaxEnd),"Outside tax year",IF(A781&lt;DATE(YEAR(TaxStart),7,6),"Q1",IF(A781&lt;DATE(YEAR(TaxStart),10,6),"Q2",IF(A781&lt;DATE(YEAR(TaxStart)+1,1,6),"Q3","Q4")))))</f>
        <v/>
      </c>
    </row>
    <row r="782">
      <c r="A782" s="8" t="n"/>
      <c r="B782" s="13" t="n"/>
      <c r="C782" s="13" t="n"/>
      <c r="D782" s="13" t="n"/>
      <c r="E782" s="11" t="n"/>
      <c r="F782" s="7">
        <f>IF(A782="","",IF(OR(A782&lt;TaxStart,A782&gt;TaxEnd),"Outside tax year",IF(A782&lt;DATE(YEAR(TaxStart),7,6),"Q1",IF(A782&lt;DATE(YEAR(TaxStart),10,6),"Q2",IF(A782&lt;DATE(YEAR(TaxStart)+1,1,6),"Q3","Q4")))))</f>
        <v/>
      </c>
    </row>
    <row r="783">
      <c r="A783" s="8" t="n"/>
      <c r="B783" s="13" t="n"/>
      <c r="C783" s="13" t="n"/>
      <c r="D783" s="13" t="n"/>
      <c r="E783" s="11" t="n"/>
      <c r="F783" s="7">
        <f>IF(A783="","",IF(OR(A783&lt;TaxStart,A783&gt;TaxEnd),"Outside tax year",IF(A783&lt;DATE(YEAR(TaxStart),7,6),"Q1",IF(A783&lt;DATE(YEAR(TaxStart),10,6),"Q2",IF(A783&lt;DATE(YEAR(TaxStart)+1,1,6),"Q3","Q4")))))</f>
        <v/>
      </c>
    </row>
    <row r="784">
      <c r="A784" s="8" t="n"/>
      <c r="B784" s="13" t="n"/>
      <c r="C784" s="13" t="n"/>
      <c r="D784" s="13" t="n"/>
      <c r="E784" s="11" t="n"/>
      <c r="F784" s="7">
        <f>IF(A784="","",IF(OR(A784&lt;TaxStart,A784&gt;TaxEnd),"Outside tax year",IF(A784&lt;DATE(YEAR(TaxStart),7,6),"Q1",IF(A784&lt;DATE(YEAR(TaxStart),10,6),"Q2",IF(A784&lt;DATE(YEAR(TaxStart)+1,1,6),"Q3","Q4")))))</f>
        <v/>
      </c>
    </row>
    <row r="785">
      <c r="A785" s="8" t="n"/>
      <c r="B785" s="13" t="n"/>
      <c r="C785" s="13" t="n"/>
      <c r="D785" s="13" t="n"/>
      <c r="E785" s="11" t="n"/>
      <c r="F785" s="7">
        <f>IF(A785="","",IF(OR(A785&lt;TaxStart,A785&gt;TaxEnd),"Outside tax year",IF(A785&lt;DATE(YEAR(TaxStart),7,6),"Q1",IF(A785&lt;DATE(YEAR(TaxStart),10,6),"Q2",IF(A785&lt;DATE(YEAR(TaxStart)+1,1,6),"Q3","Q4")))))</f>
        <v/>
      </c>
    </row>
    <row r="786">
      <c r="A786" s="8" t="n"/>
      <c r="B786" s="13" t="n"/>
      <c r="C786" s="13" t="n"/>
      <c r="D786" s="13" t="n"/>
      <c r="E786" s="11" t="n"/>
      <c r="F786" s="7">
        <f>IF(A786="","",IF(OR(A786&lt;TaxStart,A786&gt;TaxEnd),"Outside tax year",IF(A786&lt;DATE(YEAR(TaxStart),7,6),"Q1",IF(A786&lt;DATE(YEAR(TaxStart),10,6),"Q2",IF(A786&lt;DATE(YEAR(TaxStart)+1,1,6),"Q3","Q4")))))</f>
        <v/>
      </c>
    </row>
    <row r="787">
      <c r="A787" s="8" t="n"/>
      <c r="B787" s="13" t="n"/>
      <c r="C787" s="13" t="n"/>
      <c r="D787" s="13" t="n"/>
      <c r="E787" s="11" t="n"/>
      <c r="F787" s="7">
        <f>IF(A787="","",IF(OR(A787&lt;TaxStart,A787&gt;TaxEnd),"Outside tax year",IF(A787&lt;DATE(YEAR(TaxStart),7,6),"Q1",IF(A787&lt;DATE(YEAR(TaxStart),10,6),"Q2",IF(A787&lt;DATE(YEAR(TaxStart)+1,1,6),"Q3","Q4")))))</f>
        <v/>
      </c>
    </row>
    <row r="788">
      <c r="A788" s="8" t="n"/>
      <c r="B788" s="13" t="n"/>
      <c r="C788" s="13" t="n"/>
      <c r="D788" s="13" t="n"/>
      <c r="E788" s="11" t="n"/>
      <c r="F788" s="7">
        <f>IF(A788="","",IF(OR(A788&lt;TaxStart,A788&gt;TaxEnd),"Outside tax year",IF(A788&lt;DATE(YEAR(TaxStart),7,6),"Q1",IF(A788&lt;DATE(YEAR(TaxStart),10,6),"Q2",IF(A788&lt;DATE(YEAR(TaxStart)+1,1,6),"Q3","Q4")))))</f>
        <v/>
      </c>
    </row>
    <row r="789">
      <c r="A789" s="8" t="n"/>
      <c r="B789" s="13" t="n"/>
      <c r="C789" s="13" t="n"/>
      <c r="D789" s="13" t="n"/>
      <c r="E789" s="11" t="n"/>
      <c r="F789" s="7">
        <f>IF(A789="","",IF(OR(A789&lt;TaxStart,A789&gt;TaxEnd),"Outside tax year",IF(A789&lt;DATE(YEAR(TaxStart),7,6),"Q1",IF(A789&lt;DATE(YEAR(TaxStart),10,6),"Q2",IF(A789&lt;DATE(YEAR(TaxStart)+1,1,6),"Q3","Q4")))))</f>
        <v/>
      </c>
    </row>
    <row r="790">
      <c r="A790" s="8" t="n"/>
      <c r="B790" s="13" t="n"/>
      <c r="C790" s="13" t="n"/>
      <c r="D790" s="13" t="n"/>
      <c r="E790" s="11" t="n"/>
      <c r="F790" s="7">
        <f>IF(A790="","",IF(OR(A790&lt;TaxStart,A790&gt;TaxEnd),"Outside tax year",IF(A790&lt;DATE(YEAR(TaxStart),7,6),"Q1",IF(A790&lt;DATE(YEAR(TaxStart),10,6),"Q2",IF(A790&lt;DATE(YEAR(TaxStart)+1,1,6),"Q3","Q4")))))</f>
        <v/>
      </c>
    </row>
    <row r="791">
      <c r="A791" s="8" t="n"/>
      <c r="B791" s="13" t="n"/>
      <c r="C791" s="13" t="n"/>
      <c r="D791" s="13" t="n"/>
      <c r="E791" s="11" t="n"/>
      <c r="F791" s="7">
        <f>IF(A791="","",IF(OR(A791&lt;TaxStart,A791&gt;TaxEnd),"Outside tax year",IF(A791&lt;DATE(YEAR(TaxStart),7,6),"Q1",IF(A791&lt;DATE(YEAR(TaxStart),10,6),"Q2",IF(A791&lt;DATE(YEAR(TaxStart)+1,1,6),"Q3","Q4")))))</f>
        <v/>
      </c>
    </row>
    <row r="792">
      <c r="A792" s="8" t="n"/>
      <c r="B792" s="13" t="n"/>
      <c r="C792" s="13" t="n"/>
      <c r="D792" s="13" t="n"/>
      <c r="E792" s="11" t="n"/>
      <c r="F792" s="7">
        <f>IF(A792="","",IF(OR(A792&lt;TaxStart,A792&gt;TaxEnd),"Outside tax year",IF(A792&lt;DATE(YEAR(TaxStart),7,6),"Q1",IF(A792&lt;DATE(YEAR(TaxStart),10,6),"Q2",IF(A792&lt;DATE(YEAR(TaxStart)+1,1,6),"Q3","Q4")))))</f>
        <v/>
      </c>
    </row>
    <row r="793">
      <c r="A793" s="8" t="n"/>
      <c r="B793" s="13" t="n"/>
      <c r="C793" s="13" t="n"/>
      <c r="D793" s="13" t="n"/>
      <c r="E793" s="11" t="n"/>
      <c r="F793" s="7">
        <f>IF(A793="","",IF(OR(A793&lt;TaxStart,A793&gt;TaxEnd),"Outside tax year",IF(A793&lt;DATE(YEAR(TaxStart),7,6),"Q1",IF(A793&lt;DATE(YEAR(TaxStart),10,6),"Q2",IF(A793&lt;DATE(YEAR(TaxStart)+1,1,6),"Q3","Q4")))))</f>
        <v/>
      </c>
    </row>
    <row r="794">
      <c r="A794" s="8" t="n"/>
      <c r="B794" s="13" t="n"/>
      <c r="C794" s="13" t="n"/>
      <c r="D794" s="13" t="n"/>
      <c r="E794" s="11" t="n"/>
      <c r="F794" s="7">
        <f>IF(A794="","",IF(OR(A794&lt;TaxStart,A794&gt;TaxEnd),"Outside tax year",IF(A794&lt;DATE(YEAR(TaxStart),7,6),"Q1",IF(A794&lt;DATE(YEAR(TaxStart),10,6),"Q2",IF(A794&lt;DATE(YEAR(TaxStart)+1,1,6),"Q3","Q4")))))</f>
        <v/>
      </c>
    </row>
    <row r="795">
      <c r="A795" s="8" t="n"/>
      <c r="B795" s="13" t="n"/>
      <c r="C795" s="13" t="n"/>
      <c r="D795" s="13" t="n"/>
      <c r="E795" s="11" t="n"/>
      <c r="F795" s="7">
        <f>IF(A795="","",IF(OR(A795&lt;TaxStart,A795&gt;TaxEnd),"Outside tax year",IF(A795&lt;DATE(YEAR(TaxStart),7,6),"Q1",IF(A795&lt;DATE(YEAR(TaxStart),10,6),"Q2",IF(A795&lt;DATE(YEAR(TaxStart)+1,1,6),"Q3","Q4")))))</f>
        <v/>
      </c>
    </row>
    <row r="796">
      <c r="A796" s="8" t="n"/>
      <c r="B796" s="13" t="n"/>
      <c r="C796" s="13" t="n"/>
      <c r="D796" s="13" t="n"/>
      <c r="E796" s="11" t="n"/>
      <c r="F796" s="7">
        <f>IF(A796="","",IF(OR(A796&lt;TaxStart,A796&gt;TaxEnd),"Outside tax year",IF(A796&lt;DATE(YEAR(TaxStart),7,6),"Q1",IF(A796&lt;DATE(YEAR(TaxStart),10,6),"Q2",IF(A796&lt;DATE(YEAR(TaxStart)+1,1,6),"Q3","Q4")))))</f>
        <v/>
      </c>
    </row>
    <row r="797">
      <c r="A797" s="8" t="n"/>
      <c r="B797" s="13" t="n"/>
      <c r="C797" s="13" t="n"/>
      <c r="D797" s="13" t="n"/>
      <c r="E797" s="11" t="n"/>
      <c r="F797" s="7">
        <f>IF(A797="","",IF(OR(A797&lt;TaxStart,A797&gt;TaxEnd),"Outside tax year",IF(A797&lt;DATE(YEAR(TaxStart),7,6),"Q1",IF(A797&lt;DATE(YEAR(TaxStart),10,6),"Q2",IF(A797&lt;DATE(YEAR(TaxStart)+1,1,6),"Q3","Q4")))))</f>
        <v/>
      </c>
    </row>
    <row r="798">
      <c r="A798" s="8" t="n"/>
      <c r="B798" s="13" t="n"/>
      <c r="C798" s="13" t="n"/>
      <c r="D798" s="13" t="n"/>
      <c r="E798" s="11" t="n"/>
      <c r="F798" s="7">
        <f>IF(A798="","",IF(OR(A798&lt;TaxStart,A798&gt;TaxEnd),"Outside tax year",IF(A798&lt;DATE(YEAR(TaxStart),7,6),"Q1",IF(A798&lt;DATE(YEAR(TaxStart),10,6),"Q2",IF(A798&lt;DATE(YEAR(TaxStart)+1,1,6),"Q3","Q4")))))</f>
        <v/>
      </c>
    </row>
    <row r="799">
      <c r="A799" s="8" t="n"/>
      <c r="B799" s="13" t="n"/>
      <c r="C799" s="13" t="n"/>
      <c r="D799" s="13" t="n"/>
      <c r="E799" s="11" t="n"/>
      <c r="F799" s="7">
        <f>IF(A799="","",IF(OR(A799&lt;TaxStart,A799&gt;TaxEnd),"Outside tax year",IF(A799&lt;DATE(YEAR(TaxStart),7,6),"Q1",IF(A799&lt;DATE(YEAR(TaxStart),10,6),"Q2",IF(A799&lt;DATE(YEAR(TaxStart)+1,1,6),"Q3","Q4")))))</f>
        <v/>
      </c>
    </row>
    <row r="800">
      <c r="A800" s="8" t="n"/>
      <c r="B800" s="13" t="n"/>
      <c r="C800" s="13" t="n"/>
      <c r="D800" s="13" t="n"/>
      <c r="E800" s="11" t="n"/>
      <c r="F800" s="7">
        <f>IF(A800="","",IF(OR(A800&lt;TaxStart,A800&gt;TaxEnd),"Outside tax year",IF(A800&lt;DATE(YEAR(TaxStart),7,6),"Q1",IF(A800&lt;DATE(YEAR(TaxStart),10,6),"Q2",IF(A800&lt;DATE(YEAR(TaxStart)+1,1,6),"Q3","Q4")))))</f>
        <v/>
      </c>
    </row>
    <row r="801">
      <c r="A801" s="8" t="n"/>
      <c r="B801" s="13" t="n"/>
      <c r="C801" s="13" t="n"/>
      <c r="D801" s="13" t="n"/>
      <c r="E801" s="11" t="n"/>
      <c r="F801" s="7">
        <f>IF(A801="","",IF(OR(A801&lt;TaxStart,A801&gt;TaxEnd),"Outside tax year",IF(A801&lt;DATE(YEAR(TaxStart),7,6),"Q1",IF(A801&lt;DATE(YEAR(TaxStart),10,6),"Q2",IF(A801&lt;DATE(YEAR(TaxStart)+1,1,6),"Q3","Q4")))))</f>
        <v/>
      </c>
    </row>
    <row r="802">
      <c r="A802" s="8" t="n"/>
      <c r="B802" s="13" t="n"/>
      <c r="C802" s="13" t="n"/>
      <c r="D802" s="13" t="n"/>
      <c r="E802" s="11" t="n"/>
      <c r="F802" s="7">
        <f>IF(A802="","",IF(OR(A802&lt;TaxStart,A802&gt;TaxEnd),"Outside tax year",IF(A802&lt;DATE(YEAR(TaxStart),7,6),"Q1",IF(A802&lt;DATE(YEAR(TaxStart),10,6),"Q2",IF(A802&lt;DATE(YEAR(TaxStart)+1,1,6),"Q3","Q4")))))</f>
        <v/>
      </c>
    </row>
    <row r="803">
      <c r="A803" s="8" t="n"/>
      <c r="B803" s="13" t="n"/>
      <c r="C803" s="13" t="n"/>
      <c r="D803" s="13" t="n"/>
      <c r="E803" s="11" t="n"/>
      <c r="F803" s="7">
        <f>IF(A803="","",IF(OR(A803&lt;TaxStart,A803&gt;TaxEnd),"Outside tax year",IF(A803&lt;DATE(YEAR(TaxStart),7,6),"Q1",IF(A803&lt;DATE(YEAR(TaxStart),10,6),"Q2",IF(A803&lt;DATE(YEAR(TaxStart)+1,1,6),"Q3","Q4")))))</f>
        <v/>
      </c>
    </row>
    <row r="804">
      <c r="A804" s="8" t="n"/>
      <c r="B804" s="13" t="n"/>
      <c r="C804" s="13" t="n"/>
      <c r="D804" s="13" t="n"/>
      <c r="E804" s="11" t="n"/>
      <c r="F804" s="7">
        <f>IF(A804="","",IF(OR(A804&lt;TaxStart,A804&gt;TaxEnd),"Outside tax year",IF(A804&lt;DATE(YEAR(TaxStart),7,6),"Q1",IF(A804&lt;DATE(YEAR(TaxStart),10,6),"Q2",IF(A804&lt;DATE(YEAR(TaxStart)+1,1,6),"Q3","Q4")))))</f>
        <v/>
      </c>
    </row>
    <row r="805">
      <c r="A805" s="8" t="n"/>
      <c r="B805" s="13" t="n"/>
      <c r="C805" s="13" t="n"/>
      <c r="D805" s="13" t="n"/>
      <c r="E805" s="11" t="n"/>
      <c r="F805" s="7">
        <f>IF(A805="","",IF(OR(A805&lt;TaxStart,A805&gt;TaxEnd),"Outside tax year",IF(A805&lt;DATE(YEAR(TaxStart),7,6),"Q1",IF(A805&lt;DATE(YEAR(TaxStart),10,6),"Q2",IF(A805&lt;DATE(YEAR(TaxStart)+1,1,6),"Q3","Q4")))))</f>
        <v/>
      </c>
    </row>
    <row r="806">
      <c r="A806" s="8" t="n"/>
      <c r="B806" s="13" t="n"/>
      <c r="C806" s="13" t="n"/>
      <c r="D806" s="13" t="n"/>
      <c r="E806" s="11" t="n"/>
      <c r="F806" s="7">
        <f>IF(A806="","",IF(OR(A806&lt;TaxStart,A806&gt;TaxEnd),"Outside tax year",IF(A806&lt;DATE(YEAR(TaxStart),7,6),"Q1",IF(A806&lt;DATE(YEAR(TaxStart),10,6),"Q2",IF(A806&lt;DATE(YEAR(TaxStart)+1,1,6),"Q3","Q4")))))</f>
        <v/>
      </c>
    </row>
    <row r="807">
      <c r="A807" s="8" t="n"/>
      <c r="B807" s="13" t="n"/>
      <c r="C807" s="13" t="n"/>
      <c r="D807" s="13" t="n"/>
      <c r="E807" s="11" t="n"/>
      <c r="F807" s="7">
        <f>IF(A807="","",IF(OR(A807&lt;TaxStart,A807&gt;TaxEnd),"Outside tax year",IF(A807&lt;DATE(YEAR(TaxStart),7,6),"Q1",IF(A807&lt;DATE(YEAR(TaxStart),10,6),"Q2",IF(A807&lt;DATE(YEAR(TaxStart)+1,1,6),"Q3","Q4")))))</f>
        <v/>
      </c>
    </row>
    <row r="808">
      <c r="A808" s="8" t="n"/>
      <c r="B808" s="13" t="n"/>
      <c r="C808" s="13" t="n"/>
      <c r="D808" s="13" t="n"/>
      <c r="E808" s="11" t="n"/>
      <c r="F808" s="7">
        <f>IF(A808="","",IF(OR(A808&lt;TaxStart,A808&gt;TaxEnd),"Outside tax year",IF(A808&lt;DATE(YEAR(TaxStart),7,6),"Q1",IF(A808&lt;DATE(YEAR(TaxStart),10,6),"Q2",IF(A808&lt;DATE(YEAR(TaxStart)+1,1,6),"Q3","Q4")))))</f>
        <v/>
      </c>
    </row>
    <row r="809">
      <c r="A809" s="8" t="n"/>
      <c r="B809" s="13" t="n"/>
      <c r="C809" s="13" t="n"/>
      <c r="D809" s="13" t="n"/>
      <c r="E809" s="11" t="n"/>
      <c r="F809" s="7">
        <f>IF(A809="","",IF(OR(A809&lt;TaxStart,A809&gt;TaxEnd),"Outside tax year",IF(A809&lt;DATE(YEAR(TaxStart),7,6),"Q1",IF(A809&lt;DATE(YEAR(TaxStart),10,6),"Q2",IF(A809&lt;DATE(YEAR(TaxStart)+1,1,6),"Q3","Q4")))))</f>
        <v/>
      </c>
    </row>
    <row r="810">
      <c r="A810" s="8" t="n"/>
      <c r="B810" s="13" t="n"/>
      <c r="C810" s="13" t="n"/>
      <c r="D810" s="13" t="n"/>
      <c r="E810" s="11" t="n"/>
      <c r="F810" s="7">
        <f>IF(A810="","",IF(OR(A810&lt;TaxStart,A810&gt;TaxEnd),"Outside tax year",IF(A810&lt;DATE(YEAR(TaxStart),7,6),"Q1",IF(A810&lt;DATE(YEAR(TaxStart),10,6),"Q2",IF(A810&lt;DATE(YEAR(TaxStart)+1,1,6),"Q3","Q4")))))</f>
        <v/>
      </c>
    </row>
    <row r="811">
      <c r="A811" s="8" t="n"/>
      <c r="B811" s="13" t="n"/>
      <c r="C811" s="13" t="n"/>
      <c r="D811" s="13" t="n"/>
      <c r="E811" s="11" t="n"/>
      <c r="F811" s="7">
        <f>IF(A811="","",IF(OR(A811&lt;TaxStart,A811&gt;TaxEnd),"Outside tax year",IF(A811&lt;DATE(YEAR(TaxStart),7,6),"Q1",IF(A811&lt;DATE(YEAR(TaxStart),10,6),"Q2",IF(A811&lt;DATE(YEAR(TaxStart)+1,1,6),"Q3","Q4")))))</f>
        <v/>
      </c>
    </row>
    <row r="812">
      <c r="A812" s="8" t="n"/>
      <c r="B812" s="13" t="n"/>
      <c r="C812" s="13" t="n"/>
      <c r="D812" s="13" t="n"/>
      <c r="E812" s="11" t="n"/>
      <c r="F812" s="7">
        <f>IF(A812="","",IF(OR(A812&lt;TaxStart,A812&gt;TaxEnd),"Outside tax year",IF(A812&lt;DATE(YEAR(TaxStart),7,6),"Q1",IF(A812&lt;DATE(YEAR(TaxStart),10,6),"Q2",IF(A812&lt;DATE(YEAR(TaxStart)+1,1,6),"Q3","Q4")))))</f>
        <v/>
      </c>
    </row>
    <row r="813">
      <c r="A813" s="8" t="n"/>
      <c r="B813" s="13" t="n"/>
      <c r="C813" s="13" t="n"/>
      <c r="D813" s="13" t="n"/>
      <c r="E813" s="11" t="n"/>
      <c r="F813" s="7">
        <f>IF(A813="","",IF(OR(A813&lt;TaxStart,A813&gt;TaxEnd),"Outside tax year",IF(A813&lt;DATE(YEAR(TaxStart),7,6),"Q1",IF(A813&lt;DATE(YEAR(TaxStart),10,6),"Q2",IF(A813&lt;DATE(YEAR(TaxStart)+1,1,6),"Q3","Q4")))))</f>
        <v/>
      </c>
    </row>
    <row r="814">
      <c r="A814" s="8" t="n"/>
      <c r="B814" s="13" t="n"/>
      <c r="C814" s="13" t="n"/>
      <c r="D814" s="13" t="n"/>
      <c r="E814" s="11" t="n"/>
      <c r="F814" s="7">
        <f>IF(A814="","",IF(OR(A814&lt;TaxStart,A814&gt;TaxEnd),"Outside tax year",IF(A814&lt;DATE(YEAR(TaxStart),7,6),"Q1",IF(A814&lt;DATE(YEAR(TaxStart),10,6),"Q2",IF(A814&lt;DATE(YEAR(TaxStart)+1,1,6),"Q3","Q4")))))</f>
        <v/>
      </c>
    </row>
    <row r="815">
      <c r="A815" s="8" t="n"/>
      <c r="B815" s="13" t="n"/>
      <c r="C815" s="13" t="n"/>
      <c r="D815" s="13" t="n"/>
      <c r="E815" s="11" t="n"/>
      <c r="F815" s="7">
        <f>IF(A815="","",IF(OR(A815&lt;TaxStart,A815&gt;TaxEnd),"Outside tax year",IF(A815&lt;DATE(YEAR(TaxStart),7,6),"Q1",IF(A815&lt;DATE(YEAR(TaxStart),10,6),"Q2",IF(A815&lt;DATE(YEAR(TaxStart)+1,1,6),"Q3","Q4")))))</f>
        <v/>
      </c>
    </row>
    <row r="816">
      <c r="A816" s="8" t="n"/>
      <c r="B816" s="13" t="n"/>
      <c r="C816" s="13" t="n"/>
      <c r="D816" s="13" t="n"/>
      <c r="E816" s="11" t="n"/>
      <c r="F816" s="7">
        <f>IF(A816="","",IF(OR(A816&lt;TaxStart,A816&gt;TaxEnd),"Outside tax year",IF(A816&lt;DATE(YEAR(TaxStart),7,6),"Q1",IF(A816&lt;DATE(YEAR(TaxStart),10,6),"Q2",IF(A816&lt;DATE(YEAR(TaxStart)+1,1,6),"Q3","Q4")))))</f>
        <v/>
      </c>
    </row>
    <row r="817">
      <c r="A817" s="8" t="n"/>
      <c r="B817" s="13" t="n"/>
      <c r="C817" s="13" t="n"/>
      <c r="D817" s="13" t="n"/>
      <c r="E817" s="11" t="n"/>
      <c r="F817" s="7">
        <f>IF(A817="","",IF(OR(A817&lt;TaxStart,A817&gt;TaxEnd),"Outside tax year",IF(A817&lt;DATE(YEAR(TaxStart),7,6),"Q1",IF(A817&lt;DATE(YEAR(TaxStart),10,6),"Q2",IF(A817&lt;DATE(YEAR(TaxStart)+1,1,6),"Q3","Q4")))))</f>
        <v/>
      </c>
    </row>
    <row r="818">
      <c r="A818" s="8" t="n"/>
      <c r="B818" s="13" t="n"/>
      <c r="C818" s="13" t="n"/>
      <c r="D818" s="13" t="n"/>
      <c r="E818" s="11" t="n"/>
      <c r="F818" s="7">
        <f>IF(A818="","",IF(OR(A818&lt;TaxStart,A818&gt;TaxEnd),"Outside tax year",IF(A818&lt;DATE(YEAR(TaxStart),7,6),"Q1",IF(A818&lt;DATE(YEAR(TaxStart),10,6),"Q2",IF(A818&lt;DATE(YEAR(TaxStart)+1,1,6),"Q3","Q4")))))</f>
        <v/>
      </c>
    </row>
    <row r="819">
      <c r="A819" s="8" t="n"/>
      <c r="B819" s="13" t="n"/>
      <c r="C819" s="13" t="n"/>
      <c r="D819" s="13" t="n"/>
      <c r="E819" s="11" t="n"/>
      <c r="F819" s="7">
        <f>IF(A819="","",IF(OR(A819&lt;TaxStart,A819&gt;TaxEnd),"Outside tax year",IF(A819&lt;DATE(YEAR(TaxStart),7,6),"Q1",IF(A819&lt;DATE(YEAR(TaxStart),10,6),"Q2",IF(A819&lt;DATE(YEAR(TaxStart)+1,1,6),"Q3","Q4")))))</f>
        <v/>
      </c>
    </row>
    <row r="820">
      <c r="A820" s="8" t="n"/>
      <c r="B820" s="13" t="n"/>
      <c r="C820" s="13" t="n"/>
      <c r="D820" s="13" t="n"/>
      <c r="E820" s="11" t="n"/>
      <c r="F820" s="7">
        <f>IF(A820="","",IF(OR(A820&lt;TaxStart,A820&gt;TaxEnd),"Outside tax year",IF(A820&lt;DATE(YEAR(TaxStart),7,6),"Q1",IF(A820&lt;DATE(YEAR(TaxStart),10,6),"Q2",IF(A820&lt;DATE(YEAR(TaxStart)+1,1,6),"Q3","Q4")))))</f>
        <v/>
      </c>
    </row>
    <row r="821">
      <c r="A821" s="8" t="n"/>
      <c r="B821" s="13" t="n"/>
      <c r="C821" s="13" t="n"/>
      <c r="D821" s="13" t="n"/>
      <c r="E821" s="11" t="n"/>
      <c r="F821" s="7">
        <f>IF(A821="","",IF(OR(A821&lt;TaxStart,A821&gt;TaxEnd),"Outside tax year",IF(A821&lt;DATE(YEAR(TaxStart),7,6),"Q1",IF(A821&lt;DATE(YEAR(TaxStart),10,6),"Q2",IF(A821&lt;DATE(YEAR(TaxStart)+1,1,6),"Q3","Q4")))))</f>
        <v/>
      </c>
    </row>
    <row r="822">
      <c r="A822" s="8" t="n"/>
      <c r="B822" s="13" t="n"/>
      <c r="C822" s="13" t="n"/>
      <c r="D822" s="13" t="n"/>
      <c r="E822" s="11" t="n"/>
      <c r="F822" s="7">
        <f>IF(A822="","",IF(OR(A822&lt;TaxStart,A822&gt;TaxEnd),"Outside tax year",IF(A822&lt;DATE(YEAR(TaxStart),7,6),"Q1",IF(A822&lt;DATE(YEAR(TaxStart),10,6),"Q2",IF(A822&lt;DATE(YEAR(TaxStart)+1,1,6),"Q3","Q4")))))</f>
        <v/>
      </c>
    </row>
    <row r="823">
      <c r="A823" s="8" t="n"/>
      <c r="B823" s="13" t="n"/>
      <c r="C823" s="13" t="n"/>
      <c r="D823" s="13" t="n"/>
      <c r="E823" s="11" t="n"/>
      <c r="F823" s="7">
        <f>IF(A823="","",IF(OR(A823&lt;TaxStart,A823&gt;TaxEnd),"Outside tax year",IF(A823&lt;DATE(YEAR(TaxStart),7,6),"Q1",IF(A823&lt;DATE(YEAR(TaxStart),10,6),"Q2",IF(A823&lt;DATE(YEAR(TaxStart)+1,1,6),"Q3","Q4")))))</f>
        <v/>
      </c>
    </row>
    <row r="824">
      <c r="A824" s="8" t="n"/>
      <c r="B824" s="13" t="n"/>
      <c r="C824" s="13" t="n"/>
      <c r="D824" s="13" t="n"/>
      <c r="E824" s="11" t="n"/>
      <c r="F824" s="7">
        <f>IF(A824="","",IF(OR(A824&lt;TaxStart,A824&gt;TaxEnd),"Outside tax year",IF(A824&lt;DATE(YEAR(TaxStart),7,6),"Q1",IF(A824&lt;DATE(YEAR(TaxStart),10,6),"Q2",IF(A824&lt;DATE(YEAR(TaxStart)+1,1,6),"Q3","Q4")))))</f>
        <v/>
      </c>
    </row>
    <row r="825">
      <c r="A825" s="8" t="n"/>
      <c r="B825" s="13" t="n"/>
      <c r="C825" s="13" t="n"/>
      <c r="D825" s="13" t="n"/>
      <c r="E825" s="11" t="n"/>
      <c r="F825" s="7">
        <f>IF(A825="","",IF(OR(A825&lt;TaxStart,A825&gt;TaxEnd),"Outside tax year",IF(A825&lt;DATE(YEAR(TaxStart),7,6),"Q1",IF(A825&lt;DATE(YEAR(TaxStart),10,6),"Q2",IF(A825&lt;DATE(YEAR(TaxStart)+1,1,6),"Q3","Q4")))))</f>
        <v/>
      </c>
    </row>
    <row r="826">
      <c r="A826" s="8" t="n"/>
      <c r="B826" s="13" t="n"/>
      <c r="C826" s="13" t="n"/>
      <c r="D826" s="13" t="n"/>
      <c r="E826" s="11" t="n"/>
      <c r="F826" s="7">
        <f>IF(A826="","",IF(OR(A826&lt;TaxStart,A826&gt;TaxEnd),"Outside tax year",IF(A826&lt;DATE(YEAR(TaxStart),7,6),"Q1",IF(A826&lt;DATE(YEAR(TaxStart),10,6),"Q2",IF(A826&lt;DATE(YEAR(TaxStart)+1,1,6),"Q3","Q4")))))</f>
        <v/>
      </c>
    </row>
    <row r="827">
      <c r="A827" s="8" t="n"/>
      <c r="B827" s="13" t="n"/>
      <c r="C827" s="13" t="n"/>
      <c r="D827" s="13" t="n"/>
      <c r="E827" s="11" t="n"/>
      <c r="F827" s="7">
        <f>IF(A827="","",IF(OR(A827&lt;TaxStart,A827&gt;TaxEnd),"Outside tax year",IF(A827&lt;DATE(YEAR(TaxStart),7,6),"Q1",IF(A827&lt;DATE(YEAR(TaxStart),10,6),"Q2",IF(A827&lt;DATE(YEAR(TaxStart)+1,1,6),"Q3","Q4")))))</f>
        <v/>
      </c>
    </row>
    <row r="828">
      <c r="A828" s="8" t="n"/>
      <c r="B828" s="13" t="n"/>
      <c r="C828" s="13" t="n"/>
      <c r="D828" s="13" t="n"/>
      <c r="E828" s="11" t="n"/>
      <c r="F828" s="7">
        <f>IF(A828="","",IF(OR(A828&lt;TaxStart,A828&gt;TaxEnd),"Outside tax year",IF(A828&lt;DATE(YEAR(TaxStart),7,6),"Q1",IF(A828&lt;DATE(YEAR(TaxStart),10,6),"Q2",IF(A828&lt;DATE(YEAR(TaxStart)+1,1,6),"Q3","Q4")))))</f>
        <v/>
      </c>
    </row>
    <row r="829">
      <c r="A829" s="8" t="n"/>
      <c r="B829" s="13" t="n"/>
      <c r="C829" s="13" t="n"/>
      <c r="D829" s="13" t="n"/>
      <c r="E829" s="11" t="n"/>
      <c r="F829" s="7">
        <f>IF(A829="","",IF(OR(A829&lt;TaxStart,A829&gt;TaxEnd),"Outside tax year",IF(A829&lt;DATE(YEAR(TaxStart),7,6),"Q1",IF(A829&lt;DATE(YEAR(TaxStart),10,6),"Q2",IF(A829&lt;DATE(YEAR(TaxStart)+1,1,6),"Q3","Q4")))))</f>
        <v/>
      </c>
    </row>
    <row r="830">
      <c r="A830" s="8" t="n"/>
      <c r="B830" s="13" t="n"/>
      <c r="C830" s="13" t="n"/>
      <c r="D830" s="13" t="n"/>
      <c r="E830" s="11" t="n"/>
      <c r="F830" s="7">
        <f>IF(A830="","",IF(OR(A830&lt;TaxStart,A830&gt;TaxEnd),"Outside tax year",IF(A830&lt;DATE(YEAR(TaxStart),7,6),"Q1",IF(A830&lt;DATE(YEAR(TaxStart),10,6),"Q2",IF(A830&lt;DATE(YEAR(TaxStart)+1,1,6),"Q3","Q4")))))</f>
        <v/>
      </c>
    </row>
    <row r="831">
      <c r="A831" s="8" t="n"/>
      <c r="B831" s="13" t="n"/>
      <c r="C831" s="13" t="n"/>
      <c r="D831" s="13" t="n"/>
      <c r="E831" s="11" t="n"/>
      <c r="F831" s="7">
        <f>IF(A831="","",IF(OR(A831&lt;TaxStart,A831&gt;TaxEnd),"Outside tax year",IF(A831&lt;DATE(YEAR(TaxStart),7,6),"Q1",IF(A831&lt;DATE(YEAR(TaxStart),10,6),"Q2",IF(A831&lt;DATE(YEAR(TaxStart)+1,1,6),"Q3","Q4")))))</f>
        <v/>
      </c>
    </row>
    <row r="832">
      <c r="A832" s="8" t="n"/>
      <c r="B832" s="13" t="n"/>
      <c r="C832" s="13" t="n"/>
      <c r="D832" s="13" t="n"/>
      <c r="E832" s="11" t="n"/>
      <c r="F832" s="7">
        <f>IF(A832="","",IF(OR(A832&lt;TaxStart,A832&gt;TaxEnd),"Outside tax year",IF(A832&lt;DATE(YEAR(TaxStart),7,6),"Q1",IF(A832&lt;DATE(YEAR(TaxStart),10,6),"Q2",IF(A832&lt;DATE(YEAR(TaxStart)+1,1,6),"Q3","Q4")))))</f>
        <v/>
      </c>
    </row>
    <row r="833">
      <c r="A833" s="8" t="n"/>
      <c r="B833" s="13" t="n"/>
      <c r="C833" s="13" t="n"/>
      <c r="D833" s="13" t="n"/>
      <c r="E833" s="11" t="n"/>
      <c r="F833" s="7">
        <f>IF(A833="","",IF(OR(A833&lt;TaxStart,A833&gt;TaxEnd),"Outside tax year",IF(A833&lt;DATE(YEAR(TaxStart),7,6),"Q1",IF(A833&lt;DATE(YEAR(TaxStart),10,6),"Q2",IF(A833&lt;DATE(YEAR(TaxStart)+1,1,6),"Q3","Q4")))))</f>
        <v/>
      </c>
    </row>
    <row r="834">
      <c r="A834" s="8" t="n"/>
      <c r="B834" s="13" t="n"/>
      <c r="C834" s="13" t="n"/>
      <c r="D834" s="13" t="n"/>
      <c r="E834" s="11" t="n"/>
      <c r="F834" s="7">
        <f>IF(A834="","",IF(OR(A834&lt;TaxStart,A834&gt;TaxEnd),"Outside tax year",IF(A834&lt;DATE(YEAR(TaxStart),7,6),"Q1",IF(A834&lt;DATE(YEAR(TaxStart),10,6),"Q2",IF(A834&lt;DATE(YEAR(TaxStart)+1,1,6),"Q3","Q4")))))</f>
        <v/>
      </c>
    </row>
    <row r="835">
      <c r="A835" s="8" t="n"/>
      <c r="B835" s="13" t="n"/>
      <c r="C835" s="13" t="n"/>
      <c r="D835" s="13" t="n"/>
      <c r="E835" s="11" t="n"/>
      <c r="F835" s="7">
        <f>IF(A835="","",IF(OR(A835&lt;TaxStart,A835&gt;TaxEnd),"Outside tax year",IF(A835&lt;DATE(YEAR(TaxStart),7,6),"Q1",IF(A835&lt;DATE(YEAR(TaxStart),10,6),"Q2",IF(A835&lt;DATE(YEAR(TaxStart)+1,1,6),"Q3","Q4")))))</f>
        <v/>
      </c>
    </row>
    <row r="836">
      <c r="A836" s="8" t="n"/>
      <c r="B836" s="13" t="n"/>
      <c r="C836" s="13" t="n"/>
      <c r="D836" s="13" t="n"/>
      <c r="E836" s="11" t="n"/>
      <c r="F836" s="7">
        <f>IF(A836="","",IF(OR(A836&lt;TaxStart,A836&gt;TaxEnd),"Outside tax year",IF(A836&lt;DATE(YEAR(TaxStart),7,6),"Q1",IF(A836&lt;DATE(YEAR(TaxStart),10,6),"Q2",IF(A836&lt;DATE(YEAR(TaxStart)+1,1,6),"Q3","Q4")))))</f>
        <v/>
      </c>
    </row>
    <row r="837">
      <c r="A837" s="8" t="n"/>
      <c r="B837" s="13" t="n"/>
      <c r="C837" s="13" t="n"/>
      <c r="D837" s="13" t="n"/>
      <c r="E837" s="11" t="n"/>
      <c r="F837" s="7">
        <f>IF(A837="","",IF(OR(A837&lt;TaxStart,A837&gt;TaxEnd),"Outside tax year",IF(A837&lt;DATE(YEAR(TaxStart),7,6),"Q1",IF(A837&lt;DATE(YEAR(TaxStart),10,6),"Q2",IF(A837&lt;DATE(YEAR(TaxStart)+1,1,6),"Q3","Q4")))))</f>
        <v/>
      </c>
    </row>
    <row r="838">
      <c r="A838" s="8" t="n"/>
      <c r="B838" s="13" t="n"/>
      <c r="C838" s="13" t="n"/>
      <c r="D838" s="13" t="n"/>
      <c r="E838" s="11" t="n"/>
      <c r="F838" s="7">
        <f>IF(A838="","",IF(OR(A838&lt;TaxStart,A838&gt;TaxEnd),"Outside tax year",IF(A838&lt;DATE(YEAR(TaxStart),7,6),"Q1",IF(A838&lt;DATE(YEAR(TaxStart),10,6),"Q2",IF(A838&lt;DATE(YEAR(TaxStart)+1,1,6),"Q3","Q4")))))</f>
        <v/>
      </c>
    </row>
    <row r="839">
      <c r="A839" s="8" t="n"/>
      <c r="B839" s="13" t="n"/>
      <c r="C839" s="13" t="n"/>
      <c r="D839" s="13" t="n"/>
      <c r="E839" s="11" t="n"/>
      <c r="F839" s="7">
        <f>IF(A839="","",IF(OR(A839&lt;TaxStart,A839&gt;TaxEnd),"Outside tax year",IF(A839&lt;DATE(YEAR(TaxStart),7,6),"Q1",IF(A839&lt;DATE(YEAR(TaxStart),10,6),"Q2",IF(A839&lt;DATE(YEAR(TaxStart)+1,1,6),"Q3","Q4")))))</f>
        <v/>
      </c>
    </row>
    <row r="840">
      <c r="A840" s="8" t="n"/>
      <c r="B840" s="13" t="n"/>
      <c r="C840" s="13" t="n"/>
      <c r="D840" s="13" t="n"/>
      <c r="E840" s="11" t="n"/>
      <c r="F840" s="7">
        <f>IF(A840="","",IF(OR(A840&lt;TaxStart,A840&gt;TaxEnd),"Outside tax year",IF(A840&lt;DATE(YEAR(TaxStart),7,6),"Q1",IF(A840&lt;DATE(YEAR(TaxStart),10,6),"Q2",IF(A840&lt;DATE(YEAR(TaxStart)+1,1,6),"Q3","Q4")))))</f>
        <v/>
      </c>
    </row>
    <row r="841">
      <c r="A841" s="8" t="n"/>
      <c r="B841" s="13" t="n"/>
      <c r="C841" s="13" t="n"/>
      <c r="D841" s="13" t="n"/>
      <c r="E841" s="11" t="n"/>
      <c r="F841" s="7">
        <f>IF(A841="","",IF(OR(A841&lt;TaxStart,A841&gt;TaxEnd),"Outside tax year",IF(A841&lt;DATE(YEAR(TaxStart),7,6),"Q1",IF(A841&lt;DATE(YEAR(TaxStart),10,6),"Q2",IF(A841&lt;DATE(YEAR(TaxStart)+1,1,6),"Q3","Q4")))))</f>
        <v/>
      </c>
    </row>
    <row r="842">
      <c r="A842" s="8" t="n"/>
      <c r="B842" s="13" t="n"/>
      <c r="C842" s="13" t="n"/>
      <c r="D842" s="13" t="n"/>
      <c r="E842" s="11" t="n"/>
      <c r="F842" s="7">
        <f>IF(A842="","",IF(OR(A842&lt;TaxStart,A842&gt;TaxEnd),"Outside tax year",IF(A842&lt;DATE(YEAR(TaxStart),7,6),"Q1",IF(A842&lt;DATE(YEAR(TaxStart),10,6),"Q2",IF(A842&lt;DATE(YEAR(TaxStart)+1,1,6),"Q3","Q4")))))</f>
        <v/>
      </c>
    </row>
    <row r="843">
      <c r="A843" s="8" t="n"/>
      <c r="B843" s="13" t="n"/>
      <c r="C843" s="13" t="n"/>
      <c r="D843" s="13" t="n"/>
      <c r="E843" s="11" t="n"/>
      <c r="F843" s="7">
        <f>IF(A843="","",IF(OR(A843&lt;TaxStart,A843&gt;TaxEnd),"Outside tax year",IF(A843&lt;DATE(YEAR(TaxStart),7,6),"Q1",IF(A843&lt;DATE(YEAR(TaxStart),10,6),"Q2",IF(A843&lt;DATE(YEAR(TaxStart)+1,1,6),"Q3","Q4")))))</f>
        <v/>
      </c>
    </row>
    <row r="844">
      <c r="A844" s="8" t="n"/>
      <c r="B844" s="13" t="n"/>
      <c r="C844" s="13" t="n"/>
      <c r="D844" s="13" t="n"/>
      <c r="E844" s="11" t="n"/>
      <c r="F844" s="7">
        <f>IF(A844="","",IF(OR(A844&lt;TaxStart,A844&gt;TaxEnd),"Outside tax year",IF(A844&lt;DATE(YEAR(TaxStart),7,6),"Q1",IF(A844&lt;DATE(YEAR(TaxStart),10,6),"Q2",IF(A844&lt;DATE(YEAR(TaxStart)+1,1,6),"Q3","Q4")))))</f>
        <v/>
      </c>
    </row>
    <row r="845">
      <c r="A845" s="8" t="n"/>
      <c r="B845" s="13" t="n"/>
      <c r="C845" s="13" t="n"/>
      <c r="D845" s="13" t="n"/>
      <c r="E845" s="11" t="n"/>
      <c r="F845" s="7">
        <f>IF(A845="","",IF(OR(A845&lt;TaxStart,A845&gt;TaxEnd),"Outside tax year",IF(A845&lt;DATE(YEAR(TaxStart),7,6),"Q1",IF(A845&lt;DATE(YEAR(TaxStart),10,6),"Q2",IF(A845&lt;DATE(YEAR(TaxStart)+1,1,6),"Q3","Q4")))))</f>
        <v/>
      </c>
    </row>
    <row r="846">
      <c r="A846" s="8" t="n"/>
      <c r="B846" s="13" t="n"/>
      <c r="C846" s="13" t="n"/>
      <c r="D846" s="13" t="n"/>
      <c r="E846" s="11" t="n"/>
      <c r="F846" s="7">
        <f>IF(A846="","",IF(OR(A846&lt;TaxStart,A846&gt;TaxEnd),"Outside tax year",IF(A846&lt;DATE(YEAR(TaxStart),7,6),"Q1",IF(A846&lt;DATE(YEAR(TaxStart),10,6),"Q2",IF(A846&lt;DATE(YEAR(TaxStart)+1,1,6),"Q3","Q4")))))</f>
        <v/>
      </c>
    </row>
    <row r="847">
      <c r="A847" s="8" t="n"/>
      <c r="B847" s="13" t="n"/>
      <c r="C847" s="13" t="n"/>
      <c r="D847" s="13" t="n"/>
      <c r="E847" s="11" t="n"/>
      <c r="F847" s="7">
        <f>IF(A847="","",IF(OR(A847&lt;TaxStart,A847&gt;TaxEnd),"Outside tax year",IF(A847&lt;DATE(YEAR(TaxStart),7,6),"Q1",IF(A847&lt;DATE(YEAR(TaxStart),10,6),"Q2",IF(A847&lt;DATE(YEAR(TaxStart)+1,1,6),"Q3","Q4")))))</f>
        <v/>
      </c>
    </row>
    <row r="848">
      <c r="A848" s="8" t="n"/>
      <c r="B848" s="13" t="n"/>
      <c r="C848" s="13" t="n"/>
      <c r="D848" s="13" t="n"/>
      <c r="E848" s="11" t="n"/>
      <c r="F848" s="7">
        <f>IF(A848="","",IF(OR(A848&lt;TaxStart,A848&gt;TaxEnd),"Outside tax year",IF(A848&lt;DATE(YEAR(TaxStart),7,6),"Q1",IF(A848&lt;DATE(YEAR(TaxStart),10,6),"Q2",IF(A848&lt;DATE(YEAR(TaxStart)+1,1,6),"Q3","Q4")))))</f>
        <v/>
      </c>
    </row>
    <row r="849">
      <c r="A849" s="8" t="n"/>
      <c r="B849" s="13" t="n"/>
      <c r="C849" s="13" t="n"/>
      <c r="D849" s="13" t="n"/>
      <c r="E849" s="11" t="n"/>
      <c r="F849" s="7">
        <f>IF(A849="","",IF(OR(A849&lt;TaxStart,A849&gt;TaxEnd),"Outside tax year",IF(A849&lt;DATE(YEAR(TaxStart),7,6),"Q1",IF(A849&lt;DATE(YEAR(TaxStart),10,6),"Q2",IF(A849&lt;DATE(YEAR(TaxStart)+1,1,6),"Q3","Q4")))))</f>
        <v/>
      </c>
    </row>
    <row r="850">
      <c r="A850" s="8" t="n"/>
      <c r="B850" s="13" t="n"/>
      <c r="C850" s="13" t="n"/>
      <c r="D850" s="13" t="n"/>
      <c r="E850" s="11" t="n"/>
      <c r="F850" s="7">
        <f>IF(A850="","",IF(OR(A850&lt;TaxStart,A850&gt;TaxEnd),"Outside tax year",IF(A850&lt;DATE(YEAR(TaxStart),7,6),"Q1",IF(A850&lt;DATE(YEAR(TaxStart),10,6),"Q2",IF(A850&lt;DATE(YEAR(TaxStart)+1,1,6),"Q3","Q4")))))</f>
        <v/>
      </c>
    </row>
    <row r="851">
      <c r="A851" s="8" t="n"/>
      <c r="B851" s="13" t="n"/>
      <c r="C851" s="13" t="n"/>
      <c r="D851" s="13" t="n"/>
      <c r="E851" s="11" t="n"/>
      <c r="F851" s="7">
        <f>IF(A851="","",IF(OR(A851&lt;TaxStart,A851&gt;TaxEnd),"Outside tax year",IF(A851&lt;DATE(YEAR(TaxStart),7,6),"Q1",IF(A851&lt;DATE(YEAR(TaxStart),10,6),"Q2",IF(A851&lt;DATE(YEAR(TaxStart)+1,1,6),"Q3","Q4")))))</f>
        <v/>
      </c>
    </row>
    <row r="852">
      <c r="A852" s="8" t="n"/>
      <c r="B852" s="13" t="n"/>
      <c r="C852" s="13" t="n"/>
      <c r="D852" s="13" t="n"/>
      <c r="E852" s="11" t="n"/>
      <c r="F852" s="7">
        <f>IF(A852="","",IF(OR(A852&lt;TaxStart,A852&gt;TaxEnd),"Outside tax year",IF(A852&lt;DATE(YEAR(TaxStart),7,6),"Q1",IF(A852&lt;DATE(YEAR(TaxStart),10,6),"Q2",IF(A852&lt;DATE(YEAR(TaxStart)+1,1,6),"Q3","Q4")))))</f>
        <v/>
      </c>
    </row>
    <row r="853">
      <c r="A853" s="8" t="n"/>
      <c r="B853" s="13" t="n"/>
      <c r="C853" s="13" t="n"/>
      <c r="D853" s="13" t="n"/>
      <c r="E853" s="11" t="n"/>
      <c r="F853" s="7">
        <f>IF(A853="","",IF(OR(A853&lt;TaxStart,A853&gt;TaxEnd),"Outside tax year",IF(A853&lt;DATE(YEAR(TaxStart),7,6),"Q1",IF(A853&lt;DATE(YEAR(TaxStart),10,6),"Q2",IF(A853&lt;DATE(YEAR(TaxStart)+1,1,6),"Q3","Q4")))))</f>
        <v/>
      </c>
    </row>
    <row r="854">
      <c r="A854" s="8" t="n"/>
      <c r="B854" s="13" t="n"/>
      <c r="C854" s="13" t="n"/>
      <c r="D854" s="13" t="n"/>
      <c r="E854" s="11" t="n"/>
      <c r="F854" s="7">
        <f>IF(A854="","",IF(OR(A854&lt;TaxStart,A854&gt;TaxEnd),"Outside tax year",IF(A854&lt;DATE(YEAR(TaxStart),7,6),"Q1",IF(A854&lt;DATE(YEAR(TaxStart),10,6),"Q2",IF(A854&lt;DATE(YEAR(TaxStart)+1,1,6),"Q3","Q4")))))</f>
        <v/>
      </c>
    </row>
    <row r="855">
      <c r="A855" s="8" t="n"/>
      <c r="B855" s="13" t="n"/>
      <c r="C855" s="13" t="n"/>
      <c r="D855" s="13" t="n"/>
      <c r="E855" s="11" t="n"/>
      <c r="F855" s="7">
        <f>IF(A855="","",IF(OR(A855&lt;TaxStart,A855&gt;TaxEnd),"Outside tax year",IF(A855&lt;DATE(YEAR(TaxStart),7,6),"Q1",IF(A855&lt;DATE(YEAR(TaxStart),10,6),"Q2",IF(A855&lt;DATE(YEAR(TaxStart)+1,1,6),"Q3","Q4")))))</f>
        <v/>
      </c>
    </row>
    <row r="856">
      <c r="A856" s="8" t="n"/>
      <c r="B856" s="13" t="n"/>
      <c r="C856" s="13" t="n"/>
      <c r="D856" s="13" t="n"/>
      <c r="E856" s="11" t="n"/>
      <c r="F856" s="7">
        <f>IF(A856="","",IF(OR(A856&lt;TaxStart,A856&gt;TaxEnd),"Outside tax year",IF(A856&lt;DATE(YEAR(TaxStart),7,6),"Q1",IF(A856&lt;DATE(YEAR(TaxStart),10,6),"Q2",IF(A856&lt;DATE(YEAR(TaxStart)+1,1,6),"Q3","Q4")))))</f>
        <v/>
      </c>
    </row>
    <row r="857">
      <c r="A857" s="8" t="n"/>
      <c r="B857" s="13" t="n"/>
      <c r="C857" s="13" t="n"/>
      <c r="D857" s="13" t="n"/>
      <c r="E857" s="11" t="n"/>
      <c r="F857" s="7">
        <f>IF(A857="","",IF(OR(A857&lt;TaxStart,A857&gt;TaxEnd),"Outside tax year",IF(A857&lt;DATE(YEAR(TaxStart),7,6),"Q1",IF(A857&lt;DATE(YEAR(TaxStart),10,6),"Q2",IF(A857&lt;DATE(YEAR(TaxStart)+1,1,6),"Q3","Q4")))))</f>
        <v/>
      </c>
    </row>
    <row r="858">
      <c r="A858" s="8" t="n"/>
      <c r="B858" s="13" t="n"/>
      <c r="C858" s="13" t="n"/>
      <c r="D858" s="13" t="n"/>
      <c r="E858" s="11" t="n"/>
      <c r="F858" s="7">
        <f>IF(A858="","",IF(OR(A858&lt;TaxStart,A858&gt;TaxEnd),"Outside tax year",IF(A858&lt;DATE(YEAR(TaxStart),7,6),"Q1",IF(A858&lt;DATE(YEAR(TaxStart),10,6),"Q2",IF(A858&lt;DATE(YEAR(TaxStart)+1,1,6),"Q3","Q4")))))</f>
        <v/>
      </c>
    </row>
    <row r="859">
      <c r="A859" s="8" t="n"/>
      <c r="B859" s="13" t="n"/>
      <c r="C859" s="13" t="n"/>
      <c r="D859" s="13" t="n"/>
      <c r="E859" s="11" t="n"/>
      <c r="F859" s="7">
        <f>IF(A859="","",IF(OR(A859&lt;TaxStart,A859&gt;TaxEnd),"Outside tax year",IF(A859&lt;DATE(YEAR(TaxStart),7,6),"Q1",IF(A859&lt;DATE(YEAR(TaxStart),10,6),"Q2",IF(A859&lt;DATE(YEAR(TaxStart)+1,1,6),"Q3","Q4")))))</f>
        <v/>
      </c>
    </row>
    <row r="860">
      <c r="A860" s="8" t="n"/>
      <c r="B860" s="13" t="n"/>
      <c r="C860" s="13" t="n"/>
      <c r="D860" s="13" t="n"/>
      <c r="E860" s="11" t="n"/>
      <c r="F860" s="7">
        <f>IF(A860="","",IF(OR(A860&lt;TaxStart,A860&gt;TaxEnd),"Outside tax year",IF(A860&lt;DATE(YEAR(TaxStart),7,6),"Q1",IF(A860&lt;DATE(YEAR(TaxStart),10,6),"Q2",IF(A860&lt;DATE(YEAR(TaxStart)+1,1,6),"Q3","Q4")))))</f>
        <v/>
      </c>
    </row>
    <row r="861">
      <c r="A861" s="8" t="n"/>
      <c r="B861" s="13" t="n"/>
      <c r="C861" s="13" t="n"/>
      <c r="D861" s="13" t="n"/>
      <c r="E861" s="11" t="n"/>
      <c r="F861" s="7">
        <f>IF(A861="","",IF(OR(A861&lt;TaxStart,A861&gt;TaxEnd),"Outside tax year",IF(A861&lt;DATE(YEAR(TaxStart),7,6),"Q1",IF(A861&lt;DATE(YEAR(TaxStart),10,6),"Q2",IF(A861&lt;DATE(YEAR(TaxStart)+1,1,6),"Q3","Q4")))))</f>
        <v/>
      </c>
    </row>
    <row r="862">
      <c r="A862" s="8" t="n"/>
      <c r="B862" s="13" t="n"/>
      <c r="C862" s="13" t="n"/>
      <c r="D862" s="13" t="n"/>
      <c r="E862" s="11" t="n"/>
      <c r="F862" s="7">
        <f>IF(A862="","",IF(OR(A862&lt;TaxStart,A862&gt;TaxEnd),"Outside tax year",IF(A862&lt;DATE(YEAR(TaxStart),7,6),"Q1",IF(A862&lt;DATE(YEAR(TaxStart),10,6),"Q2",IF(A862&lt;DATE(YEAR(TaxStart)+1,1,6),"Q3","Q4")))))</f>
        <v/>
      </c>
    </row>
    <row r="863">
      <c r="A863" s="8" t="n"/>
      <c r="B863" s="13" t="n"/>
      <c r="C863" s="13" t="n"/>
      <c r="D863" s="13" t="n"/>
      <c r="E863" s="11" t="n"/>
      <c r="F863" s="7">
        <f>IF(A863="","",IF(OR(A863&lt;TaxStart,A863&gt;TaxEnd),"Outside tax year",IF(A863&lt;DATE(YEAR(TaxStart),7,6),"Q1",IF(A863&lt;DATE(YEAR(TaxStart),10,6),"Q2",IF(A863&lt;DATE(YEAR(TaxStart)+1,1,6),"Q3","Q4")))))</f>
        <v/>
      </c>
    </row>
    <row r="864">
      <c r="A864" s="8" t="n"/>
      <c r="B864" s="13" t="n"/>
      <c r="C864" s="13" t="n"/>
      <c r="D864" s="13" t="n"/>
      <c r="E864" s="11" t="n"/>
      <c r="F864" s="7">
        <f>IF(A864="","",IF(OR(A864&lt;TaxStart,A864&gt;TaxEnd),"Outside tax year",IF(A864&lt;DATE(YEAR(TaxStart),7,6),"Q1",IF(A864&lt;DATE(YEAR(TaxStart),10,6),"Q2",IF(A864&lt;DATE(YEAR(TaxStart)+1,1,6),"Q3","Q4")))))</f>
        <v/>
      </c>
    </row>
    <row r="865">
      <c r="A865" s="8" t="n"/>
      <c r="B865" s="13" t="n"/>
      <c r="C865" s="13" t="n"/>
      <c r="D865" s="13" t="n"/>
      <c r="E865" s="11" t="n"/>
      <c r="F865" s="7">
        <f>IF(A865="","",IF(OR(A865&lt;TaxStart,A865&gt;TaxEnd),"Outside tax year",IF(A865&lt;DATE(YEAR(TaxStart),7,6),"Q1",IF(A865&lt;DATE(YEAR(TaxStart),10,6),"Q2",IF(A865&lt;DATE(YEAR(TaxStart)+1,1,6),"Q3","Q4")))))</f>
        <v/>
      </c>
    </row>
    <row r="866">
      <c r="A866" s="8" t="n"/>
      <c r="B866" s="13" t="n"/>
      <c r="C866" s="13" t="n"/>
      <c r="D866" s="13" t="n"/>
      <c r="E866" s="11" t="n"/>
      <c r="F866" s="7">
        <f>IF(A866="","",IF(OR(A866&lt;TaxStart,A866&gt;TaxEnd),"Outside tax year",IF(A866&lt;DATE(YEAR(TaxStart),7,6),"Q1",IF(A866&lt;DATE(YEAR(TaxStart),10,6),"Q2",IF(A866&lt;DATE(YEAR(TaxStart)+1,1,6),"Q3","Q4")))))</f>
        <v/>
      </c>
    </row>
    <row r="867">
      <c r="A867" s="8" t="n"/>
      <c r="B867" s="13" t="n"/>
      <c r="C867" s="13" t="n"/>
      <c r="D867" s="13" t="n"/>
      <c r="E867" s="11" t="n"/>
      <c r="F867" s="7">
        <f>IF(A867="","",IF(OR(A867&lt;TaxStart,A867&gt;TaxEnd),"Outside tax year",IF(A867&lt;DATE(YEAR(TaxStart),7,6),"Q1",IF(A867&lt;DATE(YEAR(TaxStart),10,6),"Q2",IF(A867&lt;DATE(YEAR(TaxStart)+1,1,6),"Q3","Q4")))))</f>
        <v/>
      </c>
    </row>
    <row r="868">
      <c r="A868" s="8" t="n"/>
      <c r="B868" s="13" t="n"/>
      <c r="C868" s="13" t="n"/>
      <c r="D868" s="13" t="n"/>
      <c r="E868" s="11" t="n"/>
      <c r="F868" s="7">
        <f>IF(A868="","",IF(OR(A868&lt;TaxStart,A868&gt;TaxEnd),"Outside tax year",IF(A868&lt;DATE(YEAR(TaxStart),7,6),"Q1",IF(A868&lt;DATE(YEAR(TaxStart),10,6),"Q2",IF(A868&lt;DATE(YEAR(TaxStart)+1,1,6),"Q3","Q4")))))</f>
        <v/>
      </c>
    </row>
    <row r="869">
      <c r="A869" s="8" t="n"/>
      <c r="B869" s="13" t="n"/>
      <c r="C869" s="13" t="n"/>
      <c r="D869" s="13" t="n"/>
      <c r="E869" s="11" t="n"/>
      <c r="F869" s="7">
        <f>IF(A869="","",IF(OR(A869&lt;TaxStart,A869&gt;TaxEnd),"Outside tax year",IF(A869&lt;DATE(YEAR(TaxStart),7,6),"Q1",IF(A869&lt;DATE(YEAR(TaxStart),10,6),"Q2",IF(A869&lt;DATE(YEAR(TaxStart)+1,1,6),"Q3","Q4")))))</f>
        <v/>
      </c>
    </row>
    <row r="870">
      <c r="A870" s="8" t="n"/>
      <c r="B870" s="13" t="n"/>
      <c r="C870" s="13" t="n"/>
      <c r="D870" s="13" t="n"/>
      <c r="E870" s="11" t="n"/>
      <c r="F870" s="7">
        <f>IF(A870="","",IF(OR(A870&lt;TaxStart,A870&gt;TaxEnd),"Outside tax year",IF(A870&lt;DATE(YEAR(TaxStart),7,6),"Q1",IF(A870&lt;DATE(YEAR(TaxStart),10,6),"Q2",IF(A870&lt;DATE(YEAR(TaxStart)+1,1,6),"Q3","Q4")))))</f>
        <v/>
      </c>
    </row>
    <row r="871">
      <c r="A871" s="8" t="n"/>
      <c r="B871" s="13" t="n"/>
      <c r="C871" s="13" t="n"/>
      <c r="D871" s="13" t="n"/>
      <c r="E871" s="11" t="n"/>
      <c r="F871" s="7">
        <f>IF(A871="","",IF(OR(A871&lt;TaxStart,A871&gt;TaxEnd),"Outside tax year",IF(A871&lt;DATE(YEAR(TaxStart),7,6),"Q1",IF(A871&lt;DATE(YEAR(TaxStart),10,6),"Q2",IF(A871&lt;DATE(YEAR(TaxStart)+1,1,6),"Q3","Q4")))))</f>
        <v/>
      </c>
    </row>
    <row r="872">
      <c r="A872" s="8" t="n"/>
      <c r="B872" s="13" t="n"/>
      <c r="C872" s="13" t="n"/>
      <c r="D872" s="13" t="n"/>
      <c r="E872" s="11" t="n"/>
      <c r="F872" s="7">
        <f>IF(A872="","",IF(OR(A872&lt;TaxStart,A872&gt;TaxEnd),"Outside tax year",IF(A872&lt;DATE(YEAR(TaxStart),7,6),"Q1",IF(A872&lt;DATE(YEAR(TaxStart),10,6),"Q2",IF(A872&lt;DATE(YEAR(TaxStart)+1,1,6),"Q3","Q4")))))</f>
        <v/>
      </c>
    </row>
    <row r="873">
      <c r="A873" s="8" t="n"/>
      <c r="B873" s="13" t="n"/>
      <c r="C873" s="13" t="n"/>
      <c r="D873" s="13" t="n"/>
      <c r="E873" s="11" t="n"/>
      <c r="F873" s="7">
        <f>IF(A873="","",IF(OR(A873&lt;TaxStart,A873&gt;TaxEnd),"Outside tax year",IF(A873&lt;DATE(YEAR(TaxStart),7,6),"Q1",IF(A873&lt;DATE(YEAR(TaxStart),10,6),"Q2",IF(A873&lt;DATE(YEAR(TaxStart)+1,1,6),"Q3","Q4")))))</f>
        <v/>
      </c>
    </row>
    <row r="874">
      <c r="A874" s="8" t="n"/>
      <c r="B874" s="13" t="n"/>
      <c r="C874" s="13" t="n"/>
      <c r="D874" s="13" t="n"/>
      <c r="E874" s="11" t="n"/>
      <c r="F874" s="7">
        <f>IF(A874="","",IF(OR(A874&lt;TaxStart,A874&gt;TaxEnd),"Outside tax year",IF(A874&lt;DATE(YEAR(TaxStart),7,6),"Q1",IF(A874&lt;DATE(YEAR(TaxStart),10,6),"Q2",IF(A874&lt;DATE(YEAR(TaxStart)+1,1,6),"Q3","Q4")))))</f>
        <v/>
      </c>
    </row>
    <row r="875">
      <c r="A875" s="8" t="n"/>
      <c r="B875" s="13" t="n"/>
      <c r="C875" s="13" t="n"/>
      <c r="D875" s="13" t="n"/>
      <c r="E875" s="11" t="n"/>
      <c r="F875" s="7">
        <f>IF(A875="","",IF(OR(A875&lt;TaxStart,A875&gt;TaxEnd),"Outside tax year",IF(A875&lt;DATE(YEAR(TaxStart),7,6),"Q1",IF(A875&lt;DATE(YEAR(TaxStart),10,6),"Q2",IF(A875&lt;DATE(YEAR(TaxStart)+1,1,6),"Q3","Q4")))))</f>
        <v/>
      </c>
    </row>
    <row r="876">
      <c r="A876" s="8" t="n"/>
      <c r="B876" s="13" t="n"/>
      <c r="C876" s="13" t="n"/>
      <c r="D876" s="13" t="n"/>
      <c r="E876" s="11" t="n"/>
      <c r="F876" s="7">
        <f>IF(A876="","",IF(OR(A876&lt;TaxStart,A876&gt;TaxEnd),"Outside tax year",IF(A876&lt;DATE(YEAR(TaxStart),7,6),"Q1",IF(A876&lt;DATE(YEAR(TaxStart),10,6),"Q2",IF(A876&lt;DATE(YEAR(TaxStart)+1,1,6),"Q3","Q4")))))</f>
        <v/>
      </c>
    </row>
    <row r="877">
      <c r="A877" s="8" t="n"/>
      <c r="B877" s="13" t="n"/>
      <c r="C877" s="13" t="n"/>
      <c r="D877" s="13" t="n"/>
      <c r="E877" s="11" t="n"/>
      <c r="F877" s="7">
        <f>IF(A877="","",IF(OR(A877&lt;TaxStart,A877&gt;TaxEnd),"Outside tax year",IF(A877&lt;DATE(YEAR(TaxStart),7,6),"Q1",IF(A877&lt;DATE(YEAR(TaxStart),10,6),"Q2",IF(A877&lt;DATE(YEAR(TaxStart)+1,1,6),"Q3","Q4")))))</f>
        <v/>
      </c>
    </row>
    <row r="878">
      <c r="A878" s="8" t="n"/>
      <c r="B878" s="13" t="n"/>
      <c r="C878" s="13" t="n"/>
      <c r="D878" s="13" t="n"/>
      <c r="E878" s="11" t="n"/>
      <c r="F878" s="7">
        <f>IF(A878="","",IF(OR(A878&lt;TaxStart,A878&gt;TaxEnd),"Outside tax year",IF(A878&lt;DATE(YEAR(TaxStart),7,6),"Q1",IF(A878&lt;DATE(YEAR(TaxStart),10,6),"Q2",IF(A878&lt;DATE(YEAR(TaxStart)+1,1,6),"Q3","Q4")))))</f>
        <v/>
      </c>
    </row>
    <row r="879">
      <c r="A879" s="8" t="n"/>
      <c r="B879" s="13" t="n"/>
      <c r="C879" s="13" t="n"/>
      <c r="D879" s="13" t="n"/>
      <c r="E879" s="11" t="n"/>
      <c r="F879" s="7">
        <f>IF(A879="","",IF(OR(A879&lt;TaxStart,A879&gt;TaxEnd),"Outside tax year",IF(A879&lt;DATE(YEAR(TaxStart),7,6),"Q1",IF(A879&lt;DATE(YEAR(TaxStart),10,6),"Q2",IF(A879&lt;DATE(YEAR(TaxStart)+1,1,6),"Q3","Q4")))))</f>
        <v/>
      </c>
    </row>
    <row r="880">
      <c r="A880" s="8" t="n"/>
      <c r="B880" s="13" t="n"/>
      <c r="C880" s="13" t="n"/>
      <c r="D880" s="13" t="n"/>
      <c r="E880" s="11" t="n"/>
      <c r="F880" s="7">
        <f>IF(A880="","",IF(OR(A880&lt;TaxStart,A880&gt;TaxEnd),"Outside tax year",IF(A880&lt;DATE(YEAR(TaxStart),7,6),"Q1",IF(A880&lt;DATE(YEAR(TaxStart),10,6),"Q2",IF(A880&lt;DATE(YEAR(TaxStart)+1,1,6),"Q3","Q4")))))</f>
        <v/>
      </c>
    </row>
    <row r="881">
      <c r="A881" s="8" t="n"/>
      <c r="B881" s="13" t="n"/>
      <c r="C881" s="13" t="n"/>
      <c r="D881" s="13" t="n"/>
      <c r="E881" s="11" t="n"/>
      <c r="F881" s="7">
        <f>IF(A881="","",IF(OR(A881&lt;TaxStart,A881&gt;TaxEnd),"Outside tax year",IF(A881&lt;DATE(YEAR(TaxStart),7,6),"Q1",IF(A881&lt;DATE(YEAR(TaxStart),10,6),"Q2",IF(A881&lt;DATE(YEAR(TaxStart)+1,1,6),"Q3","Q4")))))</f>
        <v/>
      </c>
    </row>
    <row r="882">
      <c r="A882" s="8" t="n"/>
      <c r="B882" s="13" t="n"/>
      <c r="C882" s="13" t="n"/>
      <c r="D882" s="13" t="n"/>
      <c r="E882" s="11" t="n"/>
      <c r="F882" s="7">
        <f>IF(A882="","",IF(OR(A882&lt;TaxStart,A882&gt;TaxEnd),"Outside tax year",IF(A882&lt;DATE(YEAR(TaxStart),7,6),"Q1",IF(A882&lt;DATE(YEAR(TaxStart),10,6),"Q2",IF(A882&lt;DATE(YEAR(TaxStart)+1,1,6),"Q3","Q4")))))</f>
        <v/>
      </c>
    </row>
    <row r="883">
      <c r="A883" s="8" t="n"/>
      <c r="B883" s="13" t="n"/>
      <c r="C883" s="13" t="n"/>
      <c r="D883" s="13" t="n"/>
      <c r="E883" s="11" t="n"/>
      <c r="F883" s="7">
        <f>IF(A883="","",IF(OR(A883&lt;TaxStart,A883&gt;TaxEnd),"Outside tax year",IF(A883&lt;DATE(YEAR(TaxStart),7,6),"Q1",IF(A883&lt;DATE(YEAR(TaxStart),10,6),"Q2",IF(A883&lt;DATE(YEAR(TaxStart)+1,1,6),"Q3","Q4")))))</f>
        <v/>
      </c>
    </row>
    <row r="884">
      <c r="A884" s="8" t="n"/>
      <c r="B884" s="13" t="n"/>
      <c r="C884" s="13" t="n"/>
      <c r="D884" s="13" t="n"/>
      <c r="E884" s="11" t="n"/>
      <c r="F884" s="7">
        <f>IF(A884="","",IF(OR(A884&lt;TaxStart,A884&gt;TaxEnd),"Outside tax year",IF(A884&lt;DATE(YEAR(TaxStart),7,6),"Q1",IF(A884&lt;DATE(YEAR(TaxStart),10,6),"Q2",IF(A884&lt;DATE(YEAR(TaxStart)+1,1,6),"Q3","Q4")))))</f>
        <v/>
      </c>
    </row>
    <row r="885">
      <c r="A885" s="8" t="n"/>
      <c r="B885" s="13" t="n"/>
      <c r="C885" s="13" t="n"/>
      <c r="D885" s="13" t="n"/>
      <c r="E885" s="11" t="n"/>
      <c r="F885" s="7">
        <f>IF(A885="","",IF(OR(A885&lt;TaxStart,A885&gt;TaxEnd),"Outside tax year",IF(A885&lt;DATE(YEAR(TaxStart),7,6),"Q1",IF(A885&lt;DATE(YEAR(TaxStart),10,6),"Q2",IF(A885&lt;DATE(YEAR(TaxStart)+1,1,6),"Q3","Q4")))))</f>
        <v/>
      </c>
    </row>
    <row r="886">
      <c r="A886" s="8" t="n"/>
      <c r="B886" s="13" t="n"/>
      <c r="C886" s="13" t="n"/>
      <c r="D886" s="13" t="n"/>
      <c r="E886" s="11" t="n"/>
      <c r="F886" s="7">
        <f>IF(A886="","",IF(OR(A886&lt;TaxStart,A886&gt;TaxEnd),"Outside tax year",IF(A886&lt;DATE(YEAR(TaxStart),7,6),"Q1",IF(A886&lt;DATE(YEAR(TaxStart),10,6),"Q2",IF(A886&lt;DATE(YEAR(TaxStart)+1,1,6),"Q3","Q4")))))</f>
        <v/>
      </c>
    </row>
    <row r="887">
      <c r="A887" s="8" t="n"/>
      <c r="B887" s="13" t="n"/>
      <c r="C887" s="13" t="n"/>
      <c r="D887" s="13" t="n"/>
      <c r="E887" s="11" t="n"/>
      <c r="F887" s="7">
        <f>IF(A887="","",IF(OR(A887&lt;TaxStart,A887&gt;TaxEnd),"Outside tax year",IF(A887&lt;DATE(YEAR(TaxStart),7,6),"Q1",IF(A887&lt;DATE(YEAR(TaxStart),10,6),"Q2",IF(A887&lt;DATE(YEAR(TaxStart)+1,1,6),"Q3","Q4")))))</f>
        <v/>
      </c>
    </row>
    <row r="888">
      <c r="A888" s="8" t="n"/>
      <c r="B888" s="13" t="n"/>
      <c r="C888" s="13" t="n"/>
      <c r="D888" s="13" t="n"/>
      <c r="E888" s="11" t="n"/>
      <c r="F888" s="7">
        <f>IF(A888="","",IF(OR(A888&lt;TaxStart,A888&gt;TaxEnd),"Outside tax year",IF(A888&lt;DATE(YEAR(TaxStart),7,6),"Q1",IF(A888&lt;DATE(YEAR(TaxStart),10,6),"Q2",IF(A888&lt;DATE(YEAR(TaxStart)+1,1,6),"Q3","Q4")))))</f>
        <v/>
      </c>
    </row>
    <row r="889">
      <c r="A889" s="8" t="n"/>
      <c r="B889" s="13" t="n"/>
      <c r="C889" s="13" t="n"/>
      <c r="D889" s="13" t="n"/>
      <c r="E889" s="11" t="n"/>
      <c r="F889" s="7">
        <f>IF(A889="","",IF(OR(A889&lt;TaxStart,A889&gt;TaxEnd),"Outside tax year",IF(A889&lt;DATE(YEAR(TaxStart),7,6),"Q1",IF(A889&lt;DATE(YEAR(TaxStart),10,6),"Q2",IF(A889&lt;DATE(YEAR(TaxStart)+1,1,6),"Q3","Q4")))))</f>
        <v/>
      </c>
    </row>
    <row r="890">
      <c r="A890" s="8" t="n"/>
      <c r="B890" s="13" t="n"/>
      <c r="C890" s="13" t="n"/>
      <c r="D890" s="13" t="n"/>
      <c r="E890" s="11" t="n"/>
      <c r="F890" s="7">
        <f>IF(A890="","",IF(OR(A890&lt;TaxStart,A890&gt;TaxEnd),"Outside tax year",IF(A890&lt;DATE(YEAR(TaxStart),7,6),"Q1",IF(A890&lt;DATE(YEAR(TaxStart),10,6),"Q2",IF(A890&lt;DATE(YEAR(TaxStart)+1,1,6),"Q3","Q4")))))</f>
        <v/>
      </c>
    </row>
    <row r="891">
      <c r="A891" s="8" t="n"/>
      <c r="B891" s="13" t="n"/>
      <c r="C891" s="13" t="n"/>
      <c r="D891" s="13" t="n"/>
      <c r="E891" s="11" t="n"/>
      <c r="F891" s="7">
        <f>IF(A891="","",IF(OR(A891&lt;TaxStart,A891&gt;TaxEnd),"Outside tax year",IF(A891&lt;DATE(YEAR(TaxStart),7,6),"Q1",IF(A891&lt;DATE(YEAR(TaxStart),10,6),"Q2",IF(A891&lt;DATE(YEAR(TaxStart)+1,1,6),"Q3","Q4")))))</f>
        <v/>
      </c>
    </row>
    <row r="892">
      <c r="A892" s="8" t="n"/>
      <c r="B892" s="13" t="n"/>
      <c r="C892" s="13" t="n"/>
      <c r="D892" s="13" t="n"/>
      <c r="E892" s="11" t="n"/>
      <c r="F892" s="7">
        <f>IF(A892="","",IF(OR(A892&lt;TaxStart,A892&gt;TaxEnd),"Outside tax year",IF(A892&lt;DATE(YEAR(TaxStart),7,6),"Q1",IF(A892&lt;DATE(YEAR(TaxStart),10,6),"Q2",IF(A892&lt;DATE(YEAR(TaxStart)+1,1,6),"Q3","Q4")))))</f>
        <v/>
      </c>
    </row>
    <row r="893">
      <c r="A893" s="8" t="n"/>
      <c r="B893" s="13" t="n"/>
      <c r="C893" s="13" t="n"/>
      <c r="D893" s="13" t="n"/>
      <c r="E893" s="11" t="n"/>
      <c r="F893" s="7">
        <f>IF(A893="","",IF(OR(A893&lt;TaxStart,A893&gt;TaxEnd),"Outside tax year",IF(A893&lt;DATE(YEAR(TaxStart),7,6),"Q1",IF(A893&lt;DATE(YEAR(TaxStart),10,6),"Q2",IF(A893&lt;DATE(YEAR(TaxStart)+1,1,6),"Q3","Q4")))))</f>
        <v/>
      </c>
    </row>
    <row r="894">
      <c r="A894" s="8" t="n"/>
      <c r="B894" s="13" t="n"/>
      <c r="C894" s="13" t="n"/>
      <c r="D894" s="13" t="n"/>
      <c r="E894" s="11" t="n"/>
      <c r="F894" s="7">
        <f>IF(A894="","",IF(OR(A894&lt;TaxStart,A894&gt;TaxEnd),"Outside tax year",IF(A894&lt;DATE(YEAR(TaxStart),7,6),"Q1",IF(A894&lt;DATE(YEAR(TaxStart),10,6),"Q2",IF(A894&lt;DATE(YEAR(TaxStart)+1,1,6),"Q3","Q4")))))</f>
        <v/>
      </c>
    </row>
    <row r="895">
      <c r="A895" s="8" t="n"/>
      <c r="B895" s="13" t="n"/>
      <c r="C895" s="13" t="n"/>
      <c r="D895" s="13" t="n"/>
      <c r="E895" s="11" t="n"/>
      <c r="F895" s="7">
        <f>IF(A895="","",IF(OR(A895&lt;TaxStart,A895&gt;TaxEnd),"Outside tax year",IF(A895&lt;DATE(YEAR(TaxStart),7,6),"Q1",IF(A895&lt;DATE(YEAR(TaxStart),10,6),"Q2",IF(A895&lt;DATE(YEAR(TaxStart)+1,1,6),"Q3","Q4")))))</f>
        <v/>
      </c>
    </row>
    <row r="896">
      <c r="A896" s="8" t="n"/>
      <c r="B896" s="13" t="n"/>
      <c r="C896" s="13" t="n"/>
      <c r="D896" s="13" t="n"/>
      <c r="E896" s="11" t="n"/>
      <c r="F896" s="7">
        <f>IF(A896="","",IF(OR(A896&lt;TaxStart,A896&gt;TaxEnd),"Outside tax year",IF(A896&lt;DATE(YEAR(TaxStart),7,6),"Q1",IF(A896&lt;DATE(YEAR(TaxStart),10,6),"Q2",IF(A896&lt;DATE(YEAR(TaxStart)+1,1,6),"Q3","Q4")))))</f>
        <v/>
      </c>
    </row>
    <row r="897">
      <c r="A897" s="8" t="n"/>
      <c r="B897" s="13" t="n"/>
      <c r="C897" s="13" t="n"/>
      <c r="D897" s="13" t="n"/>
      <c r="E897" s="11" t="n"/>
      <c r="F897" s="7">
        <f>IF(A897="","",IF(OR(A897&lt;TaxStart,A897&gt;TaxEnd),"Outside tax year",IF(A897&lt;DATE(YEAR(TaxStart),7,6),"Q1",IF(A897&lt;DATE(YEAR(TaxStart),10,6),"Q2",IF(A897&lt;DATE(YEAR(TaxStart)+1,1,6),"Q3","Q4")))))</f>
        <v/>
      </c>
    </row>
    <row r="898">
      <c r="A898" s="8" t="n"/>
      <c r="B898" s="13" t="n"/>
      <c r="C898" s="13" t="n"/>
      <c r="D898" s="13" t="n"/>
      <c r="E898" s="11" t="n"/>
      <c r="F898" s="7">
        <f>IF(A898="","",IF(OR(A898&lt;TaxStart,A898&gt;TaxEnd),"Outside tax year",IF(A898&lt;DATE(YEAR(TaxStart),7,6),"Q1",IF(A898&lt;DATE(YEAR(TaxStart),10,6),"Q2",IF(A898&lt;DATE(YEAR(TaxStart)+1,1,6),"Q3","Q4")))))</f>
        <v/>
      </c>
    </row>
    <row r="899">
      <c r="A899" s="8" t="n"/>
      <c r="B899" s="13" t="n"/>
      <c r="C899" s="13" t="n"/>
      <c r="D899" s="13" t="n"/>
      <c r="E899" s="11" t="n"/>
      <c r="F899" s="7">
        <f>IF(A899="","",IF(OR(A899&lt;TaxStart,A899&gt;TaxEnd),"Outside tax year",IF(A899&lt;DATE(YEAR(TaxStart),7,6),"Q1",IF(A899&lt;DATE(YEAR(TaxStart),10,6),"Q2",IF(A899&lt;DATE(YEAR(TaxStart)+1,1,6),"Q3","Q4")))))</f>
        <v/>
      </c>
    </row>
    <row r="900">
      <c r="A900" s="8" t="n"/>
      <c r="B900" s="13" t="n"/>
      <c r="C900" s="13" t="n"/>
      <c r="D900" s="13" t="n"/>
      <c r="E900" s="11" t="n"/>
      <c r="F900" s="7">
        <f>IF(A900="","",IF(OR(A900&lt;TaxStart,A900&gt;TaxEnd),"Outside tax year",IF(A900&lt;DATE(YEAR(TaxStart),7,6),"Q1",IF(A900&lt;DATE(YEAR(TaxStart),10,6),"Q2",IF(A900&lt;DATE(YEAR(TaxStart)+1,1,6),"Q3","Q4")))))</f>
        <v/>
      </c>
    </row>
    <row r="901">
      <c r="A901" s="8" t="n"/>
      <c r="B901" s="13" t="n"/>
      <c r="C901" s="13" t="n"/>
      <c r="D901" s="13" t="n"/>
      <c r="E901" s="11" t="n"/>
      <c r="F901" s="7">
        <f>IF(A901="","",IF(OR(A901&lt;TaxStart,A901&gt;TaxEnd),"Outside tax year",IF(A901&lt;DATE(YEAR(TaxStart),7,6),"Q1",IF(A901&lt;DATE(YEAR(TaxStart),10,6),"Q2",IF(A901&lt;DATE(YEAR(TaxStart)+1,1,6),"Q3","Q4")))))</f>
        <v/>
      </c>
    </row>
    <row r="902">
      <c r="A902" s="8" t="n"/>
      <c r="B902" s="13" t="n"/>
      <c r="C902" s="13" t="n"/>
      <c r="D902" s="13" t="n"/>
      <c r="E902" s="11" t="n"/>
      <c r="F902" s="7">
        <f>IF(A902="","",IF(OR(A902&lt;TaxStart,A902&gt;TaxEnd),"Outside tax year",IF(A902&lt;DATE(YEAR(TaxStart),7,6),"Q1",IF(A902&lt;DATE(YEAR(TaxStart),10,6),"Q2",IF(A902&lt;DATE(YEAR(TaxStart)+1,1,6),"Q3","Q4")))))</f>
        <v/>
      </c>
    </row>
    <row r="903">
      <c r="A903" s="8" t="n"/>
      <c r="B903" s="13" t="n"/>
      <c r="C903" s="13" t="n"/>
      <c r="D903" s="13" t="n"/>
      <c r="E903" s="11" t="n"/>
      <c r="F903" s="7">
        <f>IF(A903="","",IF(OR(A903&lt;TaxStart,A903&gt;TaxEnd),"Outside tax year",IF(A903&lt;DATE(YEAR(TaxStart),7,6),"Q1",IF(A903&lt;DATE(YEAR(TaxStart),10,6),"Q2",IF(A903&lt;DATE(YEAR(TaxStart)+1,1,6),"Q3","Q4")))))</f>
        <v/>
      </c>
    </row>
    <row r="904">
      <c r="A904" s="8" t="n"/>
      <c r="B904" s="13" t="n"/>
      <c r="C904" s="13" t="n"/>
      <c r="D904" s="13" t="n"/>
      <c r="E904" s="11" t="n"/>
      <c r="F904" s="7">
        <f>IF(A904="","",IF(OR(A904&lt;TaxStart,A904&gt;TaxEnd),"Outside tax year",IF(A904&lt;DATE(YEAR(TaxStart),7,6),"Q1",IF(A904&lt;DATE(YEAR(TaxStart),10,6),"Q2",IF(A904&lt;DATE(YEAR(TaxStart)+1,1,6),"Q3","Q4")))))</f>
        <v/>
      </c>
    </row>
    <row r="905">
      <c r="A905" s="8" t="n"/>
      <c r="B905" s="13" t="n"/>
      <c r="C905" s="13" t="n"/>
      <c r="D905" s="13" t="n"/>
      <c r="E905" s="11" t="n"/>
      <c r="F905" s="7">
        <f>IF(A905="","",IF(OR(A905&lt;TaxStart,A905&gt;TaxEnd),"Outside tax year",IF(A905&lt;DATE(YEAR(TaxStart),7,6),"Q1",IF(A905&lt;DATE(YEAR(TaxStart),10,6),"Q2",IF(A905&lt;DATE(YEAR(TaxStart)+1,1,6),"Q3","Q4")))))</f>
        <v/>
      </c>
    </row>
    <row r="906">
      <c r="A906" s="8" t="n"/>
      <c r="B906" s="13" t="n"/>
      <c r="C906" s="13" t="n"/>
      <c r="D906" s="13" t="n"/>
      <c r="E906" s="11" t="n"/>
      <c r="F906" s="7">
        <f>IF(A906="","",IF(OR(A906&lt;TaxStart,A906&gt;TaxEnd),"Outside tax year",IF(A906&lt;DATE(YEAR(TaxStart),7,6),"Q1",IF(A906&lt;DATE(YEAR(TaxStart),10,6),"Q2",IF(A906&lt;DATE(YEAR(TaxStart)+1,1,6),"Q3","Q4")))))</f>
        <v/>
      </c>
    </row>
    <row r="907">
      <c r="A907" s="8" t="n"/>
      <c r="B907" s="13" t="n"/>
      <c r="C907" s="13" t="n"/>
      <c r="D907" s="13" t="n"/>
      <c r="E907" s="11" t="n"/>
      <c r="F907" s="7">
        <f>IF(A907="","",IF(OR(A907&lt;TaxStart,A907&gt;TaxEnd),"Outside tax year",IF(A907&lt;DATE(YEAR(TaxStart),7,6),"Q1",IF(A907&lt;DATE(YEAR(TaxStart),10,6),"Q2",IF(A907&lt;DATE(YEAR(TaxStart)+1,1,6),"Q3","Q4")))))</f>
        <v/>
      </c>
    </row>
    <row r="908">
      <c r="A908" s="8" t="n"/>
      <c r="B908" s="13" t="n"/>
      <c r="C908" s="13" t="n"/>
      <c r="D908" s="13" t="n"/>
      <c r="E908" s="11" t="n"/>
      <c r="F908" s="7">
        <f>IF(A908="","",IF(OR(A908&lt;TaxStart,A908&gt;TaxEnd),"Outside tax year",IF(A908&lt;DATE(YEAR(TaxStart),7,6),"Q1",IF(A908&lt;DATE(YEAR(TaxStart),10,6),"Q2",IF(A908&lt;DATE(YEAR(TaxStart)+1,1,6),"Q3","Q4")))))</f>
        <v/>
      </c>
    </row>
    <row r="909">
      <c r="A909" s="8" t="n"/>
      <c r="B909" s="13" t="n"/>
      <c r="C909" s="13" t="n"/>
      <c r="D909" s="13" t="n"/>
      <c r="E909" s="11" t="n"/>
      <c r="F909" s="7">
        <f>IF(A909="","",IF(OR(A909&lt;TaxStart,A909&gt;TaxEnd),"Outside tax year",IF(A909&lt;DATE(YEAR(TaxStart),7,6),"Q1",IF(A909&lt;DATE(YEAR(TaxStart),10,6),"Q2",IF(A909&lt;DATE(YEAR(TaxStart)+1,1,6),"Q3","Q4")))))</f>
        <v/>
      </c>
    </row>
    <row r="910">
      <c r="A910" s="8" t="n"/>
      <c r="B910" s="13" t="n"/>
      <c r="C910" s="13" t="n"/>
      <c r="D910" s="13" t="n"/>
      <c r="E910" s="11" t="n"/>
      <c r="F910" s="7">
        <f>IF(A910="","",IF(OR(A910&lt;TaxStart,A910&gt;TaxEnd),"Outside tax year",IF(A910&lt;DATE(YEAR(TaxStart),7,6),"Q1",IF(A910&lt;DATE(YEAR(TaxStart),10,6),"Q2",IF(A910&lt;DATE(YEAR(TaxStart)+1,1,6),"Q3","Q4")))))</f>
        <v/>
      </c>
    </row>
    <row r="911">
      <c r="A911" s="8" t="n"/>
      <c r="B911" s="13" t="n"/>
      <c r="C911" s="13" t="n"/>
      <c r="D911" s="13" t="n"/>
      <c r="E911" s="11" t="n"/>
      <c r="F911" s="7">
        <f>IF(A911="","",IF(OR(A911&lt;TaxStart,A911&gt;TaxEnd),"Outside tax year",IF(A911&lt;DATE(YEAR(TaxStart),7,6),"Q1",IF(A911&lt;DATE(YEAR(TaxStart),10,6),"Q2",IF(A911&lt;DATE(YEAR(TaxStart)+1,1,6),"Q3","Q4")))))</f>
        <v/>
      </c>
    </row>
    <row r="912">
      <c r="A912" s="8" t="n"/>
      <c r="B912" s="13" t="n"/>
      <c r="C912" s="13" t="n"/>
      <c r="D912" s="13" t="n"/>
      <c r="E912" s="11" t="n"/>
      <c r="F912" s="7">
        <f>IF(A912="","",IF(OR(A912&lt;TaxStart,A912&gt;TaxEnd),"Outside tax year",IF(A912&lt;DATE(YEAR(TaxStart),7,6),"Q1",IF(A912&lt;DATE(YEAR(TaxStart),10,6),"Q2",IF(A912&lt;DATE(YEAR(TaxStart)+1,1,6),"Q3","Q4")))))</f>
        <v/>
      </c>
    </row>
    <row r="913">
      <c r="A913" s="8" t="n"/>
      <c r="B913" s="13" t="n"/>
      <c r="C913" s="13" t="n"/>
      <c r="D913" s="13" t="n"/>
      <c r="E913" s="11" t="n"/>
      <c r="F913" s="7">
        <f>IF(A913="","",IF(OR(A913&lt;TaxStart,A913&gt;TaxEnd),"Outside tax year",IF(A913&lt;DATE(YEAR(TaxStart),7,6),"Q1",IF(A913&lt;DATE(YEAR(TaxStart),10,6),"Q2",IF(A913&lt;DATE(YEAR(TaxStart)+1,1,6),"Q3","Q4")))))</f>
        <v/>
      </c>
    </row>
    <row r="914">
      <c r="A914" s="8" t="n"/>
      <c r="B914" s="13" t="n"/>
      <c r="C914" s="13" t="n"/>
      <c r="D914" s="13" t="n"/>
      <c r="E914" s="11" t="n"/>
      <c r="F914" s="7">
        <f>IF(A914="","",IF(OR(A914&lt;TaxStart,A914&gt;TaxEnd),"Outside tax year",IF(A914&lt;DATE(YEAR(TaxStart),7,6),"Q1",IF(A914&lt;DATE(YEAR(TaxStart),10,6),"Q2",IF(A914&lt;DATE(YEAR(TaxStart)+1,1,6),"Q3","Q4")))))</f>
        <v/>
      </c>
    </row>
    <row r="915">
      <c r="A915" s="8" t="n"/>
      <c r="B915" s="13" t="n"/>
      <c r="C915" s="13" t="n"/>
      <c r="D915" s="13" t="n"/>
      <c r="E915" s="11" t="n"/>
      <c r="F915" s="7">
        <f>IF(A915="","",IF(OR(A915&lt;TaxStart,A915&gt;TaxEnd),"Outside tax year",IF(A915&lt;DATE(YEAR(TaxStart),7,6),"Q1",IF(A915&lt;DATE(YEAR(TaxStart),10,6),"Q2",IF(A915&lt;DATE(YEAR(TaxStart)+1,1,6),"Q3","Q4")))))</f>
        <v/>
      </c>
    </row>
    <row r="916">
      <c r="A916" s="8" t="n"/>
      <c r="B916" s="13" t="n"/>
      <c r="C916" s="13" t="n"/>
      <c r="D916" s="13" t="n"/>
      <c r="E916" s="11" t="n"/>
      <c r="F916" s="7">
        <f>IF(A916="","",IF(OR(A916&lt;TaxStart,A916&gt;TaxEnd),"Outside tax year",IF(A916&lt;DATE(YEAR(TaxStart),7,6),"Q1",IF(A916&lt;DATE(YEAR(TaxStart),10,6),"Q2",IF(A916&lt;DATE(YEAR(TaxStart)+1,1,6),"Q3","Q4")))))</f>
        <v/>
      </c>
    </row>
    <row r="917">
      <c r="A917" s="8" t="n"/>
      <c r="B917" s="13" t="n"/>
      <c r="C917" s="13" t="n"/>
      <c r="D917" s="13" t="n"/>
      <c r="E917" s="11" t="n"/>
      <c r="F917" s="7">
        <f>IF(A917="","",IF(OR(A917&lt;TaxStart,A917&gt;TaxEnd),"Outside tax year",IF(A917&lt;DATE(YEAR(TaxStart),7,6),"Q1",IF(A917&lt;DATE(YEAR(TaxStart),10,6),"Q2",IF(A917&lt;DATE(YEAR(TaxStart)+1,1,6),"Q3","Q4")))))</f>
        <v/>
      </c>
    </row>
    <row r="918">
      <c r="A918" s="8" t="n"/>
      <c r="B918" s="13" t="n"/>
      <c r="C918" s="13" t="n"/>
      <c r="D918" s="13" t="n"/>
      <c r="E918" s="11" t="n"/>
      <c r="F918" s="7">
        <f>IF(A918="","",IF(OR(A918&lt;TaxStart,A918&gt;TaxEnd),"Outside tax year",IF(A918&lt;DATE(YEAR(TaxStart),7,6),"Q1",IF(A918&lt;DATE(YEAR(TaxStart),10,6),"Q2",IF(A918&lt;DATE(YEAR(TaxStart)+1,1,6),"Q3","Q4")))))</f>
        <v/>
      </c>
    </row>
    <row r="919">
      <c r="A919" s="8" t="n"/>
      <c r="B919" s="13" t="n"/>
      <c r="C919" s="13" t="n"/>
      <c r="D919" s="13" t="n"/>
      <c r="E919" s="11" t="n"/>
      <c r="F919" s="7">
        <f>IF(A919="","",IF(OR(A919&lt;TaxStart,A919&gt;TaxEnd),"Outside tax year",IF(A919&lt;DATE(YEAR(TaxStart),7,6),"Q1",IF(A919&lt;DATE(YEAR(TaxStart),10,6),"Q2",IF(A919&lt;DATE(YEAR(TaxStart)+1,1,6),"Q3","Q4")))))</f>
        <v/>
      </c>
    </row>
    <row r="920">
      <c r="A920" s="8" t="n"/>
      <c r="B920" s="13" t="n"/>
      <c r="C920" s="13" t="n"/>
      <c r="D920" s="13" t="n"/>
      <c r="E920" s="11" t="n"/>
      <c r="F920" s="7">
        <f>IF(A920="","",IF(OR(A920&lt;TaxStart,A920&gt;TaxEnd),"Outside tax year",IF(A920&lt;DATE(YEAR(TaxStart),7,6),"Q1",IF(A920&lt;DATE(YEAR(TaxStart),10,6),"Q2",IF(A920&lt;DATE(YEAR(TaxStart)+1,1,6),"Q3","Q4")))))</f>
        <v/>
      </c>
    </row>
    <row r="921">
      <c r="A921" s="8" t="n"/>
      <c r="B921" s="13" t="n"/>
      <c r="C921" s="13" t="n"/>
      <c r="D921" s="13" t="n"/>
      <c r="E921" s="11" t="n"/>
      <c r="F921" s="7">
        <f>IF(A921="","",IF(OR(A921&lt;TaxStart,A921&gt;TaxEnd),"Outside tax year",IF(A921&lt;DATE(YEAR(TaxStart),7,6),"Q1",IF(A921&lt;DATE(YEAR(TaxStart),10,6),"Q2",IF(A921&lt;DATE(YEAR(TaxStart)+1,1,6),"Q3","Q4")))))</f>
        <v/>
      </c>
    </row>
    <row r="922">
      <c r="A922" s="8" t="n"/>
      <c r="B922" s="13" t="n"/>
      <c r="C922" s="13" t="n"/>
      <c r="D922" s="13" t="n"/>
      <c r="E922" s="11" t="n"/>
      <c r="F922" s="7">
        <f>IF(A922="","",IF(OR(A922&lt;TaxStart,A922&gt;TaxEnd),"Outside tax year",IF(A922&lt;DATE(YEAR(TaxStart),7,6),"Q1",IF(A922&lt;DATE(YEAR(TaxStart),10,6),"Q2",IF(A922&lt;DATE(YEAR(TaxStart)+1,1,6),"Q3","Q4")))))</f>
        <v/>
      </c>
    </row>
    <row r="923">
      <c r="A923" s="8" t="n"/>
      <c r="B923" s="13" t="n"/>
      <c r="C923" s="13" t="n"/>
      <c r="D923" s="13" t="n"/>
      <c r="E923" s="11" t="n"/>
      <c r="F923" s="7">
        <f>IF(A923="","",IF(OR(A923&lt;TaxStart,A923&gt;TaxEnd),"Outside tax year",IF(A923&lt;DATE(YEAR(TaxStart),7,6),"Q1",IF(A923&lt;DATE(YEAR(TaxStart),10,6),"Q2",IF(A923&lt;DATE(YEAR(TaxStart)+1,1,6),"Q3","Q4")))))</f>
        <v/>
      </c>
    </row>
    <row r="924">
      <c r="A924" s="8" t="n"/>
      <c r="B924" s="13" t="n"/>
      <c r="C924" s="13" t="n"/>
      <c r="D924" s="13" t="n"/>
      <c r="E924" s="11" t="n"/>
      <c r="F924" s="7">
        <f>IF(A924="","",IF(OR(A924&lt;TaxStart,A924&gt;TaxEnd),"Outside tax year",IF(A924&lt;DATE(YEAR(TaxStart),7,6),"Q1",IF(A924&lt;DATE(YEAR(TaxStart),10,6),"Q2",IF(A924&lt;DATE(YEAR(TaxStart)+1,1,6),"Q3","Q4")))))</f>
        <v/>
      </c>
    </row>
    <row r="925">
      <c r="A925" s="8" t="n"/>
      <c r="B925" s="13" t="n"/>
      <c r="C925" s="13" t="n"/>
      <c r="D925" s="13" t="n"/>
      <c r="E925" s="11" t="n"/>
      <c r="F925" s="7">
        <f>IF(A925="","",IF(OR(A925&lt;TaxStart,A925&gt;TaxEnd),"Outside tax year",IF(A925&lt;DATE(YEAR(TaxStart),7,6),"Q1",IF(A925&lt;DATE(YEAR(TaxStart),10,6),"Q2",IF(A925&lt;DATE(YEAR(TaxStart)+1,1,6),"Q3","Q4")))))</f>
        <v/>
      </c>
    </row>
    <row r="926">
      <c r="A926" s="8" t="n"/>
      <c r="B926" s="13" t="n"/>
      <c r="C926" s="13" t="n"/>
      <c r="D926" s="13" t="n"/>
      <c r="E926" s="11" t="n"/>
      <c r="F926" s="7">
        <f>IF(A926="","",IF(OR(A926&lt;TaxStart,A926&gt;TaxEnd),"Outside tax year",IF(A926&lt;DATE(YEAR(TaxStart),7,6),"Q1",IF(A926&lt;DATE(YEAR(TaxStart),10,6),"Q2",IF(A926&lt;DATE(YEAR(TaxStart)+1,1,6),"Q3","Q4")))))</f>
        <v/>
      </c>
    </row>
    <row r="927">
      <c r="A927" s="8" t="n"/>
      <c r="B927" s="13" t="n"/>
      <c r="C927" s="13" t="n"/>
      <c r="D927" s="13" t="n"/>
      <c r="E927" s="11" t="n"/>
      <c r="F927" s="7">
        <f>IF(A927="","",IF(OR(A927&lt;TaxStart,A927&gt;TaxEnd),"Outside tax year",IF(A927&lt;DATE(YEAR(TaxStart),7,6),"Q1",IF(A927&lt;DATE(YEAR(TaxStart),10,6),"Q2",IF(A927&lt;DATE(YEAR(TaxStart)+1,1,6),"Q3","Q4")))))</f>
        <v/>
      </c>
    </row>
    <row r="928">
      <c r="A928" s="8" t="n"/>
      <c r="B928" s="13" t="n"/>
      <c r="C928" s="13" t="n"/>
      <c r="D928" s="13" t="n"/>
      <c r="E928" s="11" t="n"/>
      <c r="F928" s="7">
        <f>IF(A928="","",IF(OR(A928&lt;TaxStart,A928&gt;TaxEnd),"Outside tax year",IF(A928&lt;DATE(YEAR(TaxStart),7,6),"Q1",IF(A928&lt;DATE(YEAR(TaxStart),10,6),"Q2",IF(A928&lt;DATE(YEAR(TaxStart)+1,1,6),"Q3","Q4")))))</f>
        <v/>
      </c>
    </row>
    <row r="929">
      <c r="A929" s="8" t="n"/>
      <c r="B929" s="13" t="n"/>
      <c r="C929" s="13" t="n"/>
      <c r="D929" s="13" t="n"/>
      <c r="E929" s="11" t="n"/>
      <c r="F929" s="7">
        <f>IF(A929="","",IF(OR(A929&lt;TaxStart,A929&gt;TaxEnd),"Outside tax year",IF(A929&lt;DATE(YEAR(TaxStart),7,6),"Q1",IF(A929&lt;DATE(YEAR(TaxStart),10,6),"Q2",IF(A929&lt;DATE(YEAR(TaxStart)+1,1,6),"Q3","Q4")))))</f>
        <v/>
      </c>
    </row>
    <row r="930">
      <c r="A930" s="8" t="n"/>
      <c r="B930" s="13" t="n"/>
      <c r="C930" s="13" t="n"/>
      <c r="D930" s="13" t="n"/>
      <c r="E930" s="11" t="n"/>
      <c r="F930" s="7">
        <f>IF(A930="","",IF(OR(A930&lt;TaxStart,A930&gt;TaxEnd),"Outside tax year",IF(A930&lt;DATE(YEAR(TaxStart),7,6),"Q1",IF(A930&lt;DATE(YEAR(TaxStart),10,6),"Q2",IF(A930&lt;DATE(YEAR(TaxStart)+1,1,6),"Q3","Q4")))))</f>
        <v/>
      </c>
    </row>
    <row r="931">
      <c r="A931" s="8" t="n"/>
      <c r="B931" s="13" t="n"/>
      <c r="C931" s="13" t="n"/>
      <c r="D931" s="13" t="n"/>
      <c r="E931" s="11" t="n"/>
      <c r="F931" s="7">
        <f>IF(A931="","",IF(OR(A931&lt;TaxStart,A931&gt;TaxEnd),"Outside tax year",IF(A931&lt;DATE(YEAR(TaxStart),7,6),"Q1",IF(A931&lt;DATE(YEAR(TaxStart),10,6),"Q2",IF(A931&lt;DATE(YEAR(TaxStart)+1,1,6),"Q3","Q4")))))</f>
        <v/>
      </c>
    </row>
    <row r="932">
      <c r="A932" s="8" t="n"/>
      <c r="B932" s="13" t="n"/>
      <c r="C932" s="13" t="n"/>
      <c r="D932" s="13" t="n"/>
      <c r="E932" s="11" t="n"/>
      <c r="F932" s="7">
        <f>IF(A932="","",IF(OR(A932&lt;TaxStart,A932&gt;TaxEnd),"Outside tax year",IF(A932&lt;DATE(YEAR(TaxStart),7,6),"Q1",IF(A932&lt;DATE(YEAR(TaxStart),10,6),"Q2",IF(A932&lt;DATE(YEAR(TaxStart)+1,1,6),"Q3","Q4")))))</f>
        <v/>
      </c>
    </row>
    <row r="933">
      <c r="A933" s="8" t="n"/>
      <c r="B933" s="13" t="n"/>
      <c r="C933" s="13" t="n"/>
      <c r="D933" s="13" t="n"/>
      <c r="E933" s="11" t="n"/>
      <c r="F933" s="7">
        <f>IF(A933="","",IF(OR(A933&lt;TaxStart,A933&gt;TaxEnd),"Outside tax year",IF(A933&lt;DATE(YEAR(TaxStart),7,6),"Q1",IF(A933&lt;DATE(YEAR(TaxStart),10,6),"Q2",IF(A933&lt;DATE(YEAR(TaxStart)+1,1,6),"Q3","Q4")))))</f>
        <v/>
      </c>
    </row>
    <row r="934">
      <c r="A934" s="8" t="n"/>
      <c r="B934" s="13" t="n"/>
      <c r="C934" s="13" t="n"/>
      <c r="D934" s="13" t="n"/>
      <c r="E934" s="11" t="n"/>
      <c r="F934" s="7">
        <f>IF(A934="","",IF(OR(A934&lt;TaxStart,A934&gt;TaxEnd),"Outside tax year",IF(A934&lt;DATE(YEAR(TaxStart),7,6),"Q1",IF(A934&lt;DATE(YEAR(TaxStart),10,6),"Q2",IF(A934&lt;DATE(YEAR(TaxStart)+1,1,6),"Q3","Q4")))))</f>
        <v/>
      </c>
    </row>
    <row r="935">
      <c r="A935" s="8" t="n"/>
      <c r="B935" s="13" t="n"/>
      <c r="C935" s="13" t="n"/>
      <c r="D935" s="13" t="n"/>
      <c r="E935" s="11" t="n"/>
      <c r="F935" s="7">
        <f>IF(A935="","",IF(OR(A935&lt;TaxStart,A935&gt;TaxEnd),"Outside tax year",IF(A935&lt;DATE(YEAR(TaxStart),7,6),"Q1",IF(A935&lt;DATE(YEAR(TaxStart),10,6),"Q2",IF(A935&lt;DATE(YEAR(TaxStart)+1,1,6),"Q3","Q4")))))</f>
        <v/>
      </c>
    </row>
    <row r="936">
      <c r="A936" s="8" t="n"/>
      <c r="B936" s="13" t="n"/>
      <c r="C936" s="13" t="n"/>
      <c r="D936" s="13" t="n"/>
      <c r="E936" s="11" t="n"/>
      <c r="F936" s="7">
        <f>IF(A936="","",IF(OR(A936&lt;TaxStart,A936&gt;TaxEnd),"Outside tax year",IF(A936&lt;DATE(YEAR(TaxStart),7,6),"Q1",IF(A936&lt;DATE(YEAR(TaxStart),10,6),"Q2",IF(A936&lt;DATE(YEAR(TaxStart)+1,1,6),"Q3","Q4")))))</f>
        <v/>
      </c>
    </row>
    <row r="937">
      <c r="A937" s="8" t="n"/>
      <c r="B937" s="13" t="n"/>
      <c r="C937" s="13" t="n"/>
      <c r="D937" s="13" t="n"/>
      <c r="E937" s="11" t="n"/>
      <c r="F937" s="7">
        <f>IF(A937="","",IF(OR(A937&lt;TaxStart,A937&gt;TaxEnd),"Outside tax year",IF(A937&lt;DATE(YEAR(TaxStart),7,6),"Q1",IF(A937&lt;DATE(YEAR(TaxStart),10,6),"Q2",IF(A937&lt;DATE(YEAR(TaxStart)+1,1,6),"Q3","Q4")))))</f>
        <v/>
      </c>
    </row>
    <row r="938">
      <c r="A938" s="8" t="n"/>
      <c r="B938" s="13" t="n"/>
      <c r="C938" s="13" t="n"/>
      <c r="D938" s="13" t="n"/>
      <c r="E938" s="11" t="n"/>
      <c r="F938" s="7">
        <f>IF(A938="","",IF(OR(A938&lt;TaxStart,A938&gt;TaxEnd),"Outside tax year",IF(A938&lt;DATE(YEAR(TaxStart),7,6),"Q1",IF(A938&lt;DATE(YEAR(TaxStart),10,6),"Q2",IF(A938&lt;DATE(YEAR(TaxStart)+1,1,6),"Q3","Q4")))))</f>
        <v/>
      </c>
    </row>
    <row r="939">
      <c r="A939" s="8" t="n"/>
      <c r="B939" s="13" t="n"/>
      <c r="C939" s="13" t="n"/>
      <c r="D939" s="13" t="n"/>
      <c r="E939" s="11" t="n"/>
      <c r="F939" s="7">
        <f>IF(A939="","",IF(OR(A939&lt;TaxStart,A939&gt;TaxEnd),"Outside tax year",IF(A939&lt;DATE(YEAR(TaxStart),7,6),"Q1",IF(A939&lt;DATE(YEAR(TaxStart),10,6),"Q2",IF(A939&lt;DATE(YEAR(TaxStart)+1,1,6),"Q3","Q4")))))</f>
        <v/>
      </c>
    </row>
    <row r="940">
      <c r="A940" s="8" t="n"/>
      <c r="B940" s="13" t="n"/>
      <c r="C940" s="13" t="n"/>
      <c r="D940" s="13" t="n"/>
      <c r="E940" s="11" t="n"/>
      <c r="F940" s="7">
        <f>IF(A940="","",IF(OR(A940&lt;TaxStart,A940&gt;TaxEnd),"Outside tax year",IF(A940&lt;DATE(YEAR(TaxStart),7,6),"Q1",IF(A940&lt;DATE(YEAR(TaxStart),10,6),"Q2",IF(A940&lt;DATE(YEAR(TaxStart)+1,1,6),"Q3","Q4")))))</f>
        <v/>
      </c>
    </row>
    <row r="941">
      <c r="A941" s="8" t="n"/>
      <c r="B941" s="13" t="n"/>
      <c r="C941" s="13" t="n"/>
      <c r="D941" s="13" t="n"/>
      <c r="E941" s="11" t="n"/>
      <c r="F941" s="7">
        <f>IF(A941="","",IF(OR(A941&lt;TaxStart,A941&gt;TaxEnd),"Outside tax year",IF(A941&lt;DATE(YEAR(TaxStart),7,6),"Q1",IF(A941&lt;DATE(YEAR(TaxStart),10,6),"Q2",IF(A941&lt;DATE(YEAR(TaxStart)+1,1,6),"Q3","Q4")))))</f>
        <v/>
      </c>
    </row>
    <row r="942">
      <c r="A942" s="8" t="n"/>
      <c r="B942" s="13" t="n"/>
      <c r="C942" s="13" t="n"/>
      <c r="D942" s="13" t="n"/>
      <c r="E942" s="11" t="n"/>
      <c r="F942" s="7">
        <f>IF(A942="","",IF(OR(A942&lt;TaxStart,A942&gt;TaxEnd),"Outside tax year",IF(A942&lt;DATE(YEAR(TaxStart),7,6),"Q1",IF(A942&lt;DATE(YEAR(TaxStart),10,6),"Q2",IF(A942&lt;DATE(YEAR(TaxStart)+1,1,6),"Q3","Q4")))))</f>
        <v/>
      </c>
    </row>
    <row r="943">
      <c r="A943" s="8" t="n"/>
      <c r="B943" s="13" t="n"/>
      <c r="C943" s="13" t="n"/>
      <c r="D943" s="13" t="n"/>
      <c r="E943" s="11" t="n"/>
      <c r="F943" s="7">
        <f>IF(A943="","",IF(OR(A943&lt;TaxStart,A943&gt;TaxEnd),"Outside tax year",IF(A943&lt;DATE(YEAR(TaxStart),7,6),"Q1",IF(A943&lt;DATE(YEAR(TaxStart),10,6),"Q2",IF(A943&lt;DATE(YEAR(TaxStart)+1,1,6),"Q3","Q4")))))</f>
        <v/>
      </c>
    </row>
    <row r="944">
      <c r="A944" s="8" t="n"/>
      <c r="B944" s="13" t="n"/>
      <c r="C944" s="13" t="n"/>
      <c r="D944" s="13" t="n"/>
      <c r="E944" s="11" t="n"/>
      <c r="F944" s="7">
        <f>IF(A944="","",IF(OR(A944&lt;TaxStart,A944&gt;TaxEnd),"Outside tax year",IF(A944&lt;DATE(YEAR(TaxStart),7,6),"Q1",IF(A944&lt;DATE(YEAR(TaxStart),10,6),"Q2",IF(A944&lt;DATE(YEAR(TaxStart)+1,1,6),"Q3","Q4")))))</f>
        <v/>
      </c>
    </row>
    <row r="945">
      <c r="A945" s="8" t="n"/>
      <c r="B945" s="13" t="n"/>
      <c r="C945" s="13" t="n"/>
      <c r="D945" s="13" t="n"/>
      <c r="E945" s="11" t="n"/>
      <c r="F945" s="7">
        <f>IF(A945="","",IF(OR(A945&lt;TaxStart,A945&gt;TaxEnd),"Outside tax year",IF(A945&lt;DATE(YEAR(TaxStart),7,6),"Q1",IF(A945&lt;DATE(YEAR(TaxStart),10,6),"Q2",IF(A945&lt;DATE(YEAR(TaxStart)+1,1,6),"Q3","Q4")))))</f>
        <v/>
      </c>
    </row>
    <row r="946">
      <c r="A946" s="8" t="n"/>
      <c r="B946" s="13" t="n"/>
      <c r="C946" s="13" t="n"/>
      <c r="D946" s="13" t="n"/>
      <c r="E946" s="11" t="n"/>
      <c r="F946" s="7">
        <f>IF(A946="","",IF(OR(A946&lt;TaxStart,A946&gt;TaxEnd),"Outside tax year",IF(A946&lt;DATE(YEAR(TaxStart),7,6),"Q1",IF(A946&lt;DATE(YEAR(TaxStart),10,6),"Q2",IF(A946&lt;DATE(YEAR(TaxStart)+1,1,6),"Q3","Q4")))))</f>
        <v/>
      </c>
    </row>
    <row r="947">
      <c r="A947" s="8" t="n"/>
      <c r="B947" s="13" t="n"/>
      <c r="C947" s="13" t="n"/>
      <c r="D947" s="13" t="n"/>
      <c r="E947" s="11" t="n"/>
      <c r="F947" s="7">
        <f>IF(A947="","",IF(OR(A947&lt;TaxStart,A947&gt;TaxEnd),"Outside tax year",IF(A947&lt;DATE(YEAR(TaxStart),7,6),"Q1",IF(A947&lt;DATE(YEAR(TaxStart),10,6),"Q2",IF(A947&lt;DATE(YEAR(TaxStart)+1,1,6),"Q3","Q4")))))</f>
        <v/>
      </c>
    </row>
    <row r="948">
      <c r="A948" s="8" t="n"/>
      <c r="B948" s="13" t="n"/>
      <c r="C948" s="13" t="n"/>
      <c r="D948" s="13" t="n"/>
      <c r="E948" s="11" t="n"/>
      <c r="F948" s="7">
        <f>IF(A948="","",IF(OR(A948&lt;TaxStart,A948&gt;TaxEnd),"Outside tax year",IF(A948&lt;DATE(YEAR(TaxStart),7,6),"Q1",IF(A948&lt;DATE(YEAR(TaxStart),10,6),"Q2",IF(A948&lt;DATE(YEAR(TaxStart)+1,1,6),"Q3","Q4")))))</f>
        <v/>
      </c>
    </row>
    <row r="949">
      <c r="A949" s="8" t="n"/>
      <c r="B949" s="13" t="n"/>
      <c r="C949" s="13" t="n"/>
      <c r="D949" s="13" t="n"/>
      <c r="E949" s="11" t="n"/>
      <c r="F949" s="7">
        <f>IF(A949="","",IF(OR(A949&lt;TaxStart,A949&gt;TaxEnd),"Outside tax year",IF(A949&lt;DATE(YEAR(TaxStart),7,6),"Q1",IF(A949&lt;DATE(YEAR(TaxStart),10,6),"Q2",IF(A949&lt;DATE(YEAR(TaxStart)+1,1,6),"Q3","Q4")))))</f>
        <v/>
      </c>
    </row>
    <row r="950">
      <c r="A950" s="8" t="n"/>
      <c r="B950" s="13" t="n"/>
      <c r="C950" s="13" t="n"/>
      <c r="D950" s="13" t="n"/>
      <c r="E950" s="11" t="n"/>
      <c r="F950" s="7">
        <f>IF(A950="","",IF(OR(A950&lt;TaxStart,A950&gt;TaxEnd),"Outside tax year",IF(A950&lt;DATE(YEAR(TaxStart),7,6),"Q1",IF(A950&lt;DATE(YEAR(TaxStart),10,6),"Q2",IF(A950&lt;DATE(YEAR(TaxStart)+1,1,6),"Q3","Q4")))))</f>
        <v/>
      </c>
    </row>
    <row r="951">
      <c r="A951" s="8" t="n"/>
      <c r="B951" s="13" t="n"/>
      <c r="C951" s="13" t="n"/>
      <c r="D951" s="13" t="n"/>
      <c r="E951" s="11" t="n"/>
      <c r="F951" s="7">
        <f>IF(A951="","",IF(OR(A951&lt;TaxStart,A951&gt;TaxEnd),"Outside tax year",IF(A951&lt;DATE(YEAR(TaxStart),7,6),"Q1",IF(A951&lt;DATE(YEAR(TaxStart),10,6),"Q2",IF(A951&lt;DATE(YEAR(TaxStart)+1,1,6),"Q3","Q4")))))</f>
        <v/>
      </c>
    </row>
    <row r="952">
      <c r="A952" s="8" t="n"/>
      <c r="B952" s="13" t="n"/>
      <c r="C952" s="13" t="n"/>
      <c r="D952" s="13" t="n"/>
      <c r="E952" s="11" t="n"/>
      <c r="F952" s="7">
        <f>IF(A952="","",IF(OR(A952&lt;TaxStart,A952&gt;TaxEnd),"Outside tax year",IF(A952&lt;DATE(YEAR(TaxStart),7,6),"Q1",IF(A952&lt;DATE(YEAR(TaxStart),10,6),"Q2",IF(A952&lt;DATE(YEAR(TaxStart)+1,1,6),"Q3","Q4")))))</f>
        <v/>
      </c>
    </row>
    <row r="953">
      <c r="A953" s="8" t="n"/>
      <c r="B953" s="13" t="n"/>
      <c r="C953" s="13" t="n"/>
      <c r="D953" s="13" t="n"/>
      <c r="E953" s="11" t="n"/>
      <c r="F953" s="7">
        <f>IF(A953="","",IF(OR(A953&lt;TaxStart,A953&gt;TaxEnd),"Outside tax year",IF(A953&lt;DATE(YEAR(TaxStart),7,6),"Q1",IF(A953&lt;DATE(YEAR(TaxStart),10,6),"Q2",IF(A953&lt;DATE(YEAR(TaxStart)+1,1,6),"Q3","Q4")))))</f>
        <v/>
      </c>
    </row>
    <row r="954">
      <c r="A954" s="8" t="n"/>
      <c r="B954" s="13" t="n"/>
      <c r="C954" s="13" t="n"/>
      <c r="D954" s="13" t="n"/>
      <c r="E954" s="11" t="n"/>
      <c r="F954" s="7">
        <f>IF(A954="","",IF(OR(A954&lt;TaxStart,A954&gt;TaxEnd),"Outside tax year",IF(A954&lt;DATE(YEAR(TaxStart),7,6),"Q1",IF(A954&lt;DATE(YEAR(TaxStart),10,6),"Q2",IF(A954&lt;DATE(YEAR(TaxStart)+1,1,6),"Q3","Q4")))))</f>
        <v/>
      </c>
    </row>
    <row r="955">
      <c r="A955" s="8" t="n"/>
      <c r="B955" s="13" t="n"/>
      <c r="C955" s="13" t="n"/>
      <c r="D955" s="13" t="n"/>
      <c r="E955" s="11" t="n"/>
      <c r="F955" s="7">
        <f>IF(A955="","",IF(OR(A955&lt;TaxStart,A955&gt;TaxEnd),"Outside tax year",IF(A955&lt;DATE(YEAR(TaxStart),7,6),"Q1",IF(A955&lt;DATE(YEAR(TaxStart),10,6),"Q2",IF(A955&lt;DATE(YEAR(TaxStart)+1,1,6),"Q3","Q4")))))</f>
        <v/>
      </c>
    </row>
    <row r="956">
      <c r="A956" s="8" t="n"/>
      <c r="B956" s="13" t="n"/>
      <c r="C956" s="13" t="n"/>
      <c r="D956" s="13" t="n"/>
      <c r="E956" s="11" t="n"/>
      <c r="F956" s="7">
        <f>IF(A956="","",IF(OR(A956&lt;TaxStart,A956&gt;TaxEnd),"Outside tax year",IF(A956&lt;DATE(YEAR(TaxStart),7,6),"Q1",IF(A956&lt;DATE(YEAR(TaxStart),10,6),"Q2",IF(A956&lt;DATE(YEAR(TaxStart)+1,1,6),"Q3","Q4")))))</f>
        <v/>
      </c>
    </row>
    <row r="957">
      <c r="A957" s="8" t="n"/>
      <c r="B957" s="13" t="n"/>
      <c r="C957" s="13" t="n"/>
      <c r="D957" s="13" t="n"/>
      <c r="E957" s="11" t="n"/>
      <c r="F957" s="7">
        <f>IF(A957="","",IF(OR(A957&lt;TaxStart,A957&gt;TaxEnd),"Outside tax year",IF(A957&lt;DATE(YEAR(TaxStart),7,6),"Q1",IF(A957&lt;DATE(YEAR(TaxStart),10,6),"Q2",IF(A957&lt;DATE(YEAR(TaxStart)+1,1,6),"Q3","Q4")))))</f>
        <v/>
      </c>
    </row>
    <row r="958">
      <c r="A958" s="8" t="n"/>
      <c r="B958" s="13" t="n"/>
      <c r="C958" s="13" t="n"/>
      <c r="D958" s="13" t="n"/>
      <c r="E958" s="11" t="n"/>
      <c r="F958" s="7">
        <f>IF(A958="","",IF(OR(A958&lt;TaxStart,A958&gt;TaxEnd),"Outside tax year",IF(A958&lt;DATE(YEAR(TaxStart),7,6),"Q1",IF(A958&lt;DATE(YEAR(TaxStart),10,6),"Q2",IF(A958&lt;DATE(YEAR(TaxStart)+1,1,6),"Q3","Q4")))))</f>
        <v/>
      </c>
    </row>
    <row r="959">
      <c r="A959" s="8" t="n"/>
      <c r="B959" s="13" t="n"/>
      <c r="C959" s="13" t="n"/>
      <c r="D959" s="13" t="n"/>
      <c r="E959" s="11" t="n"/>
      <c r="F959" s="7">
        <f>IF(A959="","",IF(OR(A959&lt;TaxStart,A959&gt;TaxEnd),"Outside tax year",IF(A959&lt;DATE(YEAR(TaxStart),7,6),"Q1",IF(A959&lt;DATE(YEAR(TaxStart),10,6),"Q2",IF(A959&lt;DATE(YEAR(TaxStart)+1,1,6),"Q3","Q4")))))</f>
        <v/>
      </c>
    </row>
    <row r="960">
      <c r="A960" s="8" t="n"/>
      <c r="B960" s="13" t="n"/>
      <c r="C960" s="13" t="n"/>
      <c r="D960" s="13" t="n"/>
      <c r="E960" s="11" t="n"/>
      <c r="F960" s="7">
        <f>IF(A960="","",IF(OR(A960&lt;TaxStart,A960&gt;TaxEnd),"Outside tax year",IF(A960&lt;DATE(YEAR(TaxStart),7,6),"Q1",IF(A960&lt;DATE(YEAR(TaxStart),10,6),"Q2",IF(A960&lt;DATE(YEAR(TaxStart)+1,1,6),"Q3","Q4")))))</f>
        <v/>
      </c>
    </row>
    <row r="961">
      <c r="A961" s="8" t="n"/>
      <c r="B961" s="13" t="n"/>
      <c r="C961" s="13" t="n"/>
      <c r="D961" s="13" t="n"/>
      <c r="E961" s="11" t="n"/>
      <c r="F961" s="7">
        <f>IF(A961="","",IF(OR(A961&lt;TaxStart,A961&gt;TaxEnd),"Outside tax year",IF(A961&lt;DATE(YEAR(TaxStart),7,6),"Q1",IF(A961&lt;DATE(YEAR(TaxStart),10,6),"Q2",IF(A961&lt;DATE(YEAR(TaxStart)+1,1,6),"Q3","Q4")))))</f>
        <v/>
      </c>
    </row>
    <row r="962">
      <c r="A962" s="8" t="n"/>
      <c r="B962" s="13" t="n"/>
      <c r="C962" s="13" t="n"/>
      <c r="D962" s="13" t="n"/>
      <c r="E962" s="11" t="n"/>
      <c r="F962" s="7">
        <f>IF(A962="","",IF(OR(A962&lt;TaxStart,A962&gt;TaxEnd),"Outside tax year",IF(A962&lt;DATE(YEAR(TaxStart),7,6),"Q1",IF(A962&lt;DATE(YEAR(TaxStart),10,6),"Q2",IF(A962&lt;DATE(YEAR(TaxStart)+1,1,6),"Q3","Q4")))))</f>
        <v/>
      </c>
    </row>
    <row r="963">
      <c r="A963" s="8" t="n"/>
      <c r="B963" s="13" t="n"/>
      <c r="C963" s="13" t="n"/>
      <c r="D963" s="13" t="n"/>
      <c r="E963" s="11" t="n"/>
      <c r="F963" s="7">
        <f>IF(A963="","",IF(OR(A963&lt;TaxStart,A963&gt;TaxEnd),"Outside tax year",IF(A963&lt;DATE(YEAR(TaxStart),7,6),"Q1",IF(A963&lt;DATE(YEAR(TaxStart),10,6),"Q2",IF(A963&lt;DATE(YEAR(TaxStart)+1,1,6),"Q3","Q4")))))</f>
        <v/>
      </c>
    </row>
    <row r="964">
      <c r="A964" s="8" t="n"/>
      <c r="B964" s="13" t="n"/>
      <c r="C964" s="13" t="n"/>
      <c r="D964" s="13" t="n"/>
      <c r="E964" s="11" t="n"/>
      <c r="F964" s="7">
        <f>IF(A964="","",IF(OR(A964&lt;TaxStart,A964&gt;TaxEnd),"Outside tax year",IF(A964&lt;DATE(YEAR(TaxStart),7,6),"Q1",IF(A964&lt;DATE(YEAR(TaxStart),10,6),"Q2",IF(A964&lt;DATE(YEAR(TaxStart)+1,1,6),"Q3","Q4")))))</f>
        <v/>
      </c>
    </row>
    <row r="965">
      <c r="A965" s="8" t="n"/>
      <c r="B965" s="13" t="n"/>
      <c r="C965" s="13" t="n"/>
      <c r="D965" s="13" t="n"/>
      <c r="E965" s="11" t="n"/>
      <c r="F965" s="7">
        <f>IF(A965="","",IF(OR(A965&lt;TaxStart,A965&gt;TaxEnd),"Outside tax year",IF(A965&lt;DATE(YEAR(TaxStart),7,6),"Q1",IF(A965&lt;DATE(YEAR(TaxStart),10,6),"Q2",IF(A965&lt;DATE(YEAR(TaxStart)+1,1,6),"Q3","Q4")))))</f>
        <v/>
      </c>
    </row>
    <row r="966">
      <c r="A966" s="8" t="n"/>
      <c r="B966" s="13" t="n"/>
      <c r="C966" s="13" t="n"/>
      <c r="D966" s="13" t="n"/>
      <c r="E966" s="11" t="n"/>
      <c r="F966" s="7">
        <f>IF(A966="","",IF(OR(A966&lt;TaxStart,A966&gt;TaxEnd),"Outside tax year",IF(A966&lt;DATE(YEAR(TaxStart),7,6),"Q1",IF(A966&lt;DATE(YEAR(TaxStart),10,6),"Q2",IF(A966&lt;DATE(YEAR(TaxStart)+1,1,6),"Q3","Q4")))))</f>
        <v/>
      </c>
    </row>
    <row r="967">
      <c r="A967" s="8" t="n"/>
      <c r="B967" s="13" t="n"/>
      <c r="C967" s="13" t="n"/>
      <c r="D967" s="13" t="n"/>
      <c r="E967" s="11" t="n"/>
      <c r="F967" s="7">
        <f>IF(A967="","",IF(OR(A967&lt;TaxStart,A967&gt;TaxEnd),"Outside tax year",IF(A967&lt;DATE(YEAR(TaxStart),7,6),"Q1",IF(A967&lt;DATE(YEAR(TaxStart),10,6),"Q2",IF(A967&lt;DATE(YEAR(TaxStart)+1,1,6),"Q3","Q4")))))</f>
        <v/>
      </c>
    </row>
    <row r="968">
      <c r="A968" s="8" t="n"/>
      <c r="B968" s="13" t="n"/>
      <c r="C968" s="13" t="n"/>
      <c r="D968" s="13" t="n"/>
      <c r="E968" s="11" t="n"/>
      <c r="F968" s="7">
        <f>IF(A968="","",IF(OR(A968&lt;TaxStart,A968&gt;TaxEnd),"Outside tax year",IF(A968&lt;DATE(YEAR(TaxStart),7,6),"Q1",IF(A968&lt;DATE(YEAR(TaxStart),10,6),"Q2",IF(A968&lt;DATE(YEAR(TaxStart)+1,1,6),"Q3","Q4")))))</f>
        <v/>
      </c>
    </row>
    <row r="969">
      <c r="A969" s="8" t="n"/>
      <c r="B969" s="13" t="n"/>
      <c r="C969" s="13" t="n"/>
      <c r="D969" s="13" t="n"/>
      <c r="E969" s="11" t="n"/>
      <c r="F969" s="7">
        <f>IF(A969="","",IF(OR(A969&lt;TaxStart,A969&gt;TaxEnd),"Outside tax year",IF(A969&lt;DATE(YEAR(TaxStart),7,6),"Q1",IF(A969&lt;DATE(YEAR(TaxStart),10,6),"Q2",IF(A969&lt;DATE(YEAR(TaxStart)+1,1,6),"Q3","Q4")))))</f>
        <v/>
      </c>
    </row>
    <row r="970">
      <c r="A970" s="8" t="n"/>
      <c r="B970" s="13" t="n"/>
      <c r="C970" s="13" t="n"/>
      <c r="D970" s="13" t="n"/>
      <c r="E970" s="11" t="n"/>
      <c r="F970" s="7">
        <f>IF(A970="","",IF(OR(A970&lt;TaxStart,A970&gt;TaxEnd),"Outside tax year",IF(A970&lt;DATE(YEAR(TaxStart),7,6),"Q1",IF(A970&lt;DATE(YEAR(TaxStart),10,6),"Q2",IF(A970&lt;DATE(YEAR(TaxStart)+1,1,6),"Q3","Q4")))))</f>
        <v/>
      </c>
    </row>
    <row r="971">
      <c r="A971" s="8" t="n"/>
      <c r="B971" s="13" t="n"/>
      <c r="C971" s="13" t="n"/>
      <c r="D971" s="13" t="n"/>
      <c r="E971" s="11" t="n"/>
      <c r="F971" s="7">
        <f>IF(A971="","",IF(OR(A971&lt;TaxStart,A971&gt;TaxEnd),"Outside tax year",IF(A971&lt;DATE(YEAR(TaxStart),7,6),"Q1",IF(A971&lt;DATE(YEAR(TaxStart),10,6),"Q2",IF(A971&lt;DATE(YEAR(TaxStart)+1,1,6),"Q3","Q4")))))</f>
        <v/>
      </c>
    </row>
    <row r="972">
      <c r="A972" s="8" t="n"/>
      <c r="B972" s="13" t="n"/>
      <c r="C972" s="13" t="n"/>
      <c r="D972" s="13" t="n"/>
      <c r="E972" s="11" t="n"/>
      <c r="F972" s="7">
        <f>IF(A972="","",IF(OR(A972&lt;TaxStart,A972&gt;TaxEnd),"Outside tax year",IF(A972&lt;DATE(YEAR(TaxStart),7,6),"Q1",IF(A972&lt;DATE(YEAR(TaxStart),10,6),"Q2",IF(A972&lt;DATE(YEAR(TaxStart)+1,1,6),"Q3","Q4")))))</f>
        <v/>
      </c>
    </row>
    <row r="973">
      <c r="A973" s="8" t="n"/>
      <c r="B973" s="13" t="n"/>
      <c r="C973" s="13" t="n"/>
      <c r="D973" s="13" t="n"/>
      <c r="E973" s="11" t="n"/>
      <c r="F973" s="7">
        <f>IF(A973="","",IF(OR(A973&lt;TaxStart,A973&gt;TaxEnd),"Outside tax year",IF(A973&lt;DATE(YEAR(TaxStart),7,6),"Q1",IF(A973&lt;DATE(YEAR(TaxStart),10,6),"Q2",IF(A973&lt;DATE(YEAR(TaxStart)+1,1,6),"Q3","Q4")))))</f>
        <v/>
      </c>
    </row>
    <row r="974">
      <c r="A974" s="8" t="n"/>
      <c r="B974" s="13" t="n"/>
      <c r="C974" s="13" t="n"/>
      <c r="D974" s="13" t="n"/>
      <c r="E974" s="11" t="n"/>
      <c r="F974" s="7">
        <f>IF(A974="","",IF(OR(A974&lt;TaxStart,A974&gt;TaxEnd),"Outside tax year",IF(A974&lt;DATE(YEAR(TaxStart),7,6),"Q1",IF(A974&lt;DATE(YEAR(TaxStart),10,6),"Q2",IF(A974&lt;DATE(YEAR(TaxStart)+1,1,6),"Q3","Q4")))))</f>
        <v/>
      </c>
    </row>
    <row r="975">
      <c r="A975" s="8" t="n"/>
      <c r="B975" s="13" t="n"/>
      <c r="C975" s="13" t="n"/>
      <c r="D975" s="13" t="n"/>
      <c r="E975" s="11" t="n"/>
      <c r="F975" s="7">
        <f>IF(A975="","",IF(OR(A975&lt;TaxStart,A975&gt;TaxEnd),"Outside tax year",IF(A975&lt;DATE(YEAR(TaxStart),7,6),"Q1",IF(A975&lt;DATE(YEAR(TaxStart),10,6),"Q2",IF(A975&lt;DATE(YEAR(TaxStart)+1,1,6),"Q3","Q4")))))</f>
        <v/>
      </c>
    </row>
    <row r="976">
      <c r="A976" s="8" t="n"/>
      <c r="B976" s="13" t="n"/>
      <c r="C976" s="13" t="n"/>
      <c r="D976" s="13" t="n"/>
      <c r="E976" s="11" t="n"/>
      <c r="F976" s="7">
        <f>IF(A976="","",IF(OR(A976&lt;TaxStart,A976&gt;TaxEnd),"Outside tax year",IF(A976&lt;DATE(YEAR(TaxStart),7,6),"Q1",IF(A976&lt;DATE(YEAR(TaxStart),10,6),"Q2",IF(A976&lt;DATE(YEAR(TaxStart)+1,1,6),"Q3","Q4")))))</f>
        <v/>
      </c>
    </row>
    <row r="977">
      <c r="A977" s="8" t="n"/>
      <c r="B977" s="13" t="n"/>
      <c r="C977" s="13" t="n"/>
      <c r="D977" s="13" t="n"/>
      <c r="E977" s="11" t="n"/>
      <c r="F977" s="7">
        <f>IF(A977="","",IF(OR(A977&lt;TaxStart,A977&gt;TaxEnd),"Outside tax year",IF(A977&lt;DATE(YEAR(TaxStart),7,6),"Q1",IF(A977&lt;DATE(YEAR(TaxStart),10,6),"Q2",IF(A977&lt;DATE(YEAR(TaxStart)+1,1,6),"Q3","Q4")))))</f>
        <v/>
      </c>
    </row>
    <row r="978">
      <c r="A978" s="8" t="n"/>
      <c r="B978" s="13" t="n"/>
      <c r="C978" s="13" t="n"/>
      <c r="D978" s="13" t="n"/>
      <c r="E978" s="11" t="n"/>
      <c r="F978" s="7">
        <f>IF(A978="","",IF(OR(A978&lt;TaxStart,A978&gt;TaxEnd),"Outside tax year",IF(A978&lt;DATE(YEAR(TaxStart),7,6),"Q1",IF(A978&lt;DATE(YEAR(TaxStart),10,6),"Q2",IF(A978&lt;DATE(YEAR(TaxStart)+1,1,6),"Q3","Q4")))))</f>
        <v/>
      </c>
    </row>
    <row r="979">
      <c r="A979" s="8" t="n"/>
      <c r="B979" s="13" t="n"/>
      <c r="C979" s="13" t="n"/>
      <c r="D979" s="13" t="n"/>
      <c r="E979" s="11" t="n"/>
      <c r="F979" s="7">
        <f>IF(A979="","",IF(OR(A979&lt;TaxStart,A979&gt;TaxEnd),"Outside tax year",IF(A979&lt;DATE(YEAR(TaxStart),7,6),"Q1",IF(A979&lt;DATE(YEAR(TaxStart),10,6),"Q2",IF(A979&lt;DATE(YEAR(TaxStart)+1,1,6),"Q3","Q4")))))</f>
        <v/>
      </c>
    </row>
    <row r="980">
      <c r="A980" s="8" t="n"/>
      <c r="B980" s="13" t="n"/>
      <c r="C980" s="13" t="n"/>
      <c r="D980" s="13" t="n"/>
      <c r="E980" s="11" t="n"/>
      <c r="F980" s="7">
        <f>IF(A980="","",IF(OR(A980&lt;TaxStart,A980&gt;TaxEnd),"Outside tax year",IF(A980&lt;DATE(YEAR(TaxStart),7,6),"Q1",IF(A980&lt;DATE(YEAR(TaxStart),10,6),"Q2",IF(A980&lt;DATE(YEAR(TaxStart)+1,1,6),"Q3","Q4")))))</f>
        <v/>
      </c>
    </row>
    <row r="981">
      <c r="A981" s="8" t="n"/>
      <c r="B981" s="13" t="n"/>
      <c r="C981" s="13" t="n"/>
      <c r="D981" s="13" t="n"/>
      <c r="E981" s="11" t="n"/>
      <c r="F981" s="7">
        <f>IF(A981="","",IF(OR(A981&lt;TaxStart,A981&gt;TaxEnd),"Outside tax year",IF(A981&lt;DATE(YEAR(TaxStart),7,6),"Q1",IF(A981&lt;DATE(YEAR(TaxStart),10,6),"Q2",IF(A981&lt;DATE(YEAR(TaxStart)+1,1,6),"Q3","Q4")))))</f>
        <v/>
      </c>
    </row>
    <row r="982">
      <c r="A982" s="8" t="n"/>
      <c r="B982" s="13" t="n"/>
      <c r="C982" s="13" t="n"/>
      <c r="D982" s="13" t="n"/>
      <c r="E982" s="11" t="n"/>
      <c r="F982" s="7">
        <f>IF(A982="","",IF(OR(A982&lt;TaxStart,A982&gt;TaxEnd),"Outside tax year",IF(A982&lt;DATE(YEAR(TaxStart),7,6),"Q1",IF(A982&lt;DATE(YEAR(TaxStart),10,6),"Q2",IF(A982&lt;DATE(YEAR(TaxStart)+1,1,6),"Q3","Q4")))))</f>
        <v/>
      </c>
    </row>
    <row r="983">
      <c r="A983" s="8" t="n"/>
      <c r="B983" s="13" t="n"/>
      <c r="C983" s="13" t="n"/>
      <c r="D983" s="13" t="n"/>
      <c r="E983" s="11" t="n"/>
      <c r="F983" s="7">
        <f>IF(A983="","",IF(OR(A983&lt;TaxStart,A983&gt;TaxEnd),"Outside tax year",IF(A983&lt;DATE(YEAR(TaxStart),7,6),"Q1",IF(A983&lt;DATE(YEAR(TaxStart),10,6),"Q2",IF(A983&lt;DATE(YEAR(TaxStart)+1,1,6),"Q3","Q4")))))</f>
        <v/>
      </c>
    </row>
    <row r="984">
      <c r="A984" s="8" t="n"/>
      <c r="B984" s="13" t="n"/>
      <c r="C984" s="13" t="n"/>
      <c r="D984" s="13" t="n"/>
      <c r="E984" s="11" t="n"/>
      <c r="F984" s="7">
        <f>IF(A984="","",IF(OR(A984&lt;TaxStart,A984&gt;TaxEnd),"Outside tax year",IF(A984&lt;DATE(YEAR(TaxStart),7,6),"Q1",IF(A984&lt;DATE(YEAR(TaxStart),10,6),"Q2",IF(A984&lt;DATE(YEAR(TaxStart)+1,1,6),"Q3","Q4")))))</f>
        <v/>
      </c>
    </row>
    <row r="985">
      <c r="A985" s="8" t="n"/>
      <c r="B985" s="13" t="n"/>
      <c r="C985" s="13" t="n"/>
      <c r="D985" s="13" t="n"/>
      <c r="E985" s="11" t="n"/>
      <c r="F985" s="7">
        <f>IF(A985="","",IF(OR(A985&lt;TaxStart,A985&gt;TaxEnd),"Outside tax year",IF(A985&lt;DATE(YEAR(TaxStart),7,6),"Q1",IF(A985&lt;DATE(YEAR(TaxStart),10,6),"Q2",IF(A985&lt;DATE(YEAR(TaxStart)+1,1,6),"Q3","Q4")))))</f>
        <v/>
      </c>
    </row>
    <row r="986">
      <c r="A986" s="8" t="n"/>
      <c r="B986" s="13" t="n"/>
      <c r="C986" s="13" t="n"/>
      <c r="D986" s="13" t="n"/>
      <c r="E986" s="11" t="n"/>
      <c r="F986" s="7">
        <f>IF(A986="","",IF(OR(A986&lt;TaxStart,A986&gt;TaxEnd),"Outside tax year",IF(A986&lt;DATE(YEAR(TaxStart),7,6),"Q1",IF(A986&lt;DATE(YEAR(TaxStart),10,6),"Q2",IF(A986&lt;DATE(YEAR(TaxStart)+1,1,6),"Q3","Q4")))))</f>
        <v/>
      </c>
    </row>
    <row r="987">
      <c r="A987" s="8" t="n"/>
      <c r="B987" s="13" t="n"/>
      <c r="C987" s="13" t="n"/>
      <c r="D987" s="13" t="n"/>
      <c r="E987" s="11" t="n"/>
      <c r="F987" s="7">
        <f>IF(A987="","",IF(OR(A987&lt;TaxStart,A987&gt;TaxEnd),"Outside tax year",IF(A987&lt;DATE(YEAR(TaxStart),7,6),"Q1",IF(A987&lt;DATE(YEAR(TaxStart),10,6),"Q2",IF(A987&lt;DATE(YEAR(TaxStart)+1,1,6),"Q3","Q4")))))</f>
        <v/>
      </c>
    </row>
    <row r="988">
      <c r="A988" s="8" t="n"/>
      <c r="B988" s="13" t="n"/>
      <c r="C988" s="13" t="n"/>
      <c r="D988" s="13" t="n"/>
      <c r="E988" s="11" t="n"/>
      <c r="F988" s="7">
        <f>IF(A988="","",IF(OR(A988&lt;TaxStart,A988&gt;TaxEnd),"Outside tax year",IF(A988&lt;DATE(YEAR(TaxStart),7,6),"Q1",IF(A988&lt;DATE(YEAR(TaxStart),10,6),"Q2",IF(A988&lt;DATE(YEAR(TaxStart)+1,1,6),"Q3","Q4")))))</f>
        <v/>
      </c>
    </row>
    <row r="989">
      <c r="A989" s="8" t="n"/>
      <c r="B989" s="13" t="n"/>
      <c r="C989" s="13" t="n"/>
      <c r="D989" s="13" t="n"/>
      <c r="E989" s="11" t="n"/>
      <c r="F989" s="7">
        <f>IF(A989="","",IF(OR(A989&lt;TaxStart,A989&gt;TaxEnd),"Outside tax year",IF(A989&lt;DATE(YEAR(TaxStart),7,6),"Q1",IF(A989&lt;DATE(YEAR(TaxStart),10,6),"Q2",IF(A989&lt;DATE(YEAR(TaxStart)+1,1,6),"Q3","Q4")))))</f>
        <v/>
      </c>
    </row>
    <row r="990">
      <c r="A990" s="8" t="n"/>
      <c r="B990" s="13" t="n"/>
      <c r="C990" s="13" t="n"/>
      <c r="D990" s="13" t="n"/>
      <c r="E990" s="11" t="n"/>
      <c r="F990" s="7">
        <f>IF(A990="","",IF(OR(A990&lt;TaxStart,A990&gt;TaxEnd),"Outside tax year",IF(A990&lt;DATE(YEAR(TaxStart),7,6),"Q1",IF(A990&lt;DATE(YEAR(TaxStart),10,6),"Q2",IF(A990&lt;DATE(YEAR(TaxStart)+1,1,6),"Q3","Q4")))))</f>
        <v/>
      </c>
    </row>
    <row r="991">
      <c r="A991" s="8" t="n"/>
      <c r="B991" s="13" t="n"/>
      <c r="C991" s="13" t="n"/>
      <c r="D991" s="13" t="n"/>
      <c r="E991" s="11" t="n"/>
      <c r="F991" s="7">
        <f>IF(A991="","",IF(OR(A991&lt;TaxStart,A991&gt;TaxEnd),"Outside tax year",IF(A991&lt;DATE(YEAR(TaxStart),7,6),"Q1",IF(A991&lt;DATE(YEAR(TaxStart),10,6),"Q2",IF(A991&lt;DATE(YEAR(TaxStart)+1,1,6),"Q3","Q4")))))</f>
        <v/>
      </c>
    </row>
    <row r="992">
      <c r="A992" s="8" t="n"/>
      <c r="B992" s="13" t="n"/>
      <c r="C992" s="13" t="n"/>
      <c r="D992" s="13" t="n"/>
      <c r="E992" s="11" t="n"/>
      <c r="F992" s="7">
        <f>IF(A992="","",IF(OR(A992&lt;TaxStart,A992&gt;TaxEnd),"Outside tax year",IF(A992&lt;DATE(YEAR(TaxStart),7,6),"Q1",IF(A992&lt;DATE(YEAR(TaxStart),10,6),"Q2",IF(A992&lt;DATE(YEAR(TaxStart)+1,1,6),"Q3","Q4")))))</f>
        <v/>
      </c>
    </row>
    <row r="993">
      <c r="A993" s="8" t="n"/>
      <c r="B993" s="13" t="n"/>
      <c r="C993" s="13" t="n"/>
      <c r="D993" s="13" t="n"/>
      <c r="E993" s="11" t="n"/>
      <c r="F993" s="7">
        <f>IF(A993="","",IF(OR(A993&lt;TaxStart,A993&gt;TaxEnd),"Outside tax year",IF(A993&lt;DATE(YEAR(TaxStart),7,6),"Q1",IF(A993&lt;DATE(YEAR(TaxStart),10,6),"Q2",IF(A993&lt;DATE(YEAR(TaxStart)+1,1,6),"Q3","Q4")))))</f>
        <v/>
      </c>
    </row>
    <row r="994">
      <c r="A994" s="8" t="n"/>
      <c r="B994" s="13" t="n"/>
      <c r="C994" s="13" t="n"/>
      <c r="D994" s="13" t="n"/>
      <c r="E994" s="11" t="n"/>
      <c r="F994" s="7">
        <f>IF(A994="","",IF(OR(A994&lt;TaxStart,A994&gt;TaxEnd),"Outside tax year",IF(A994&lt;DATE(YEAR(TaxStart),7,6),"Q1",IF(A994&lt;DATE(YEAR(TaxStart),10,6),"Q2",IF(A994&lt;DATE(YEAR(TaxStart)+1,1,6),"Q3","Q4")))))</f>
        <v/>
      </c>
    </row>
    <row r="995">
      <c r="A995" s="8" t="n"/>
      <c r="B995" s="13" t="n"/>
      <c r="C995" s="13" t="n"/>
      <c r="D995" s="13" t="n"/>
      <c r="E995" s="11" t="n"/>
      <c r="F995" s="7">
        <f>IF(A995="","",IF(OR(A995&lt;TaxStart,A995&gt;TaxEnd),"Outside tax year",IF(A995&lt;DATE(YEAR(TaxStart),7,6),"Q1",IF(A995&lt;DATE(YEAR(TaxStart),10,6),"Q2",IF(A995&lt;DATE(YEAR(TaxStart)+1,1,6),"Q3","Q4")))))</f>
        <v/>
      </c>
    </row>
    <row r="996">
      <c r="A996" s="8" t="n"/>
      <c r="B996" s="13" t="n"/>
      <c r="C996" s="13" t="n"/>
      <c r="D996" s="13" t="n"/>
      <c r="E996" s="11" t="n"/>
      <c r="F996" s="7">
        <f>IF(A996="","",IF(OR(A996&lt;TaxStart,A996&gt;TaxEnd),"Outside tax year",IF(A996&lt;DATE(YEAR(TaxStart),7,6),"Q1",IF(A996&lt;DATE(YEAR(TaxStart),10,6),"Q2",IF(A996&lt;DATE(YEAR(TaxStart)+1,1,6),"Q3","Q4")))))</f>
        <v/>
      </c>
    </row>
    <row r="997">
      <c r="A997" s="8" t="n"/>
      <c r="B997" s="13" t="n"/>
      <c r="C997" s="13" t="n"/>
      <c r="D997" s="13" t="n"/>
      <c r="E997" s="11" t="n"/>
      <c r="F997" s="7">
        <f>IF(A997="","",IF(OR(A997&lt;TaxStart,A997&gt;TaxEnd),"Outside tax year",IF(A997&lt;DATE(YEAR(TaxStart),7,6),"Q1",IF(A997&lt;DATE(YEAR(TaxStart),10,6),"Q2",IF(A997&lt;DATE(YEAR(TaxStart)+1,1,6),"Q3","Q4")))))</f>
        <v/>
      </c>
    </row>
    <row r="998">
      <c r="A998" s="8" t="n"/>
      <c r="B998" s="13" t="n"/>
      <c r="C998" s="13" t="n"/>
      <c r="D998" s="13" t="n"/>
      <c r="E998" s="11" t="n"/>
      <c r="F998" s="7">
        <f>IF(A998="","",IF(OR(A998&lt;TaxStart,A998&gt;TaxEnd),"Outside tax year",IF(A998&lt;DATE(YEAR(TaxStart),7,6),"Q1",IF(A998&lt;DATE(YEAR(TaxStart),10,6),"Q2",IF(A998&lt;DATE(YEAR(TaxStart)+1,1,6),"Q3","Q4")))))</f>
        <v/>
      </c>
    </row>
    <row r="999">
      <c r="A999" s="8" t="n"/>
      <c r="B999" s="13" t="n"/>
      <c r="C999" s="13" t="n"/>
      <c r="D999" s="13" t="n"/>
      <c r="E999" s="11" t="n"/>
      <c r="F999" s="7">
        <f>IF(A999="","",IF(OR(A999&lt;TaxStart,A999&gt;TaxEnd),"Outside tax year",IF(A999&lt;DATE(YEAR(TaxStart),7,6),"Q1",IF(A999&lt;DATE(YEAR(TaxStart),10,6),"Q2",IF(A999&lt;DATE(YEAR(TaxStart)+1,1,6),"Q3","Q4")))))</f>
        <v/>
      </c>
    </row>
    <row r="1000">
      <c r="A1000" s="8" t="n"/>
      <c r="B1000" s="13" t="n"/>
      <c r="C1000" s="13" t="n"/>
      <c r="D1000" s="13" t="n"/>
      <c r="E1000" s="11" t="n"/>
      <c r="F1000" s="7">
        <f>IF(A1000="","",IF(OR(A1000&lt;TaxStart,A1000&gt;TaxEnd),"Outside tax year",IF(A1000&lt;DATE(YEAR(TaxStart),7,6),"Q1",IF(A1000&lt;DATE(YEAR(TaxStart),10,6),"Q2",IF(A1000&lt;DATE(YEAR(TaxStart)+1,1,6),"Q3","Q4")))))</f>
        <v/>
      </c>
    </row>
    <row r="1001">
      <c r="A1001" s="8" t="n"/>
      <c r="B1001" s="13" t="n"/>
      <c r="C1001" s="13" t="n"/>
      <c r="D1001" s="13" t="n"/>
      <c r="E1001" s="11" t="n"/>
      <c r="F1001" s="7">
        <f>IF(A1001="","",IF(OR(A1001&lt;TaxStart,A1001&gt;TaxEnd),"Outside tax year",IF(A1001&lt;DATE(YEAR(TaxStart),7,6),"Q1",IF(A1001&lt;DATE(YEAR(TaxStart),10,6),"Q2",IF(A1001&lt;DATE(YEAR(TaxStart)+1,1,6),"Q3","Q4")))))</f>
        <v/>
      </c>
    </row>
    <row r="1002">
      <c r="A1002" s="8" t="n"/>
      <c r="B1002" s="13" t="n"/>
      <c r="C1002" s="13" t="n"/>
      <c r="D1002" s="13" t="n"/>
      <c r="E1002" s="11" t="n"/>
      <c r="F1002" s="7">
        <f>IF(A1002="","",IF(OR(A1002&lt;TaxStart,A1002&gt;TaxEnd),"Outside tax year",IF(A1002&lt;DATE(YEAR(TaxStart),7,6),"Q1",IF(A1002&lt;DATE(YEAR(TaxStart),10,6),"Q2",IF(A1002&lt;DATE(YEAR(TaxStart)+1,1,6),"Q3","Q4")))))</f>
        <v/>
      </c>
    </row>
    <row r="1003">
      <c r="A1003" s="8" t="n"/>
      <c r="B1003" s="13" t="n"/>
      <c r="C1003" s="13" t="n"/>
      <c r="D1003" s="13" t="n"/>
      <c r="E1003" s="11" t="n"/>
      <c r="F1003" s="7">
        <f>IF(A1003="","",IF(OR(A1003&lt;TaxStart,A1003&gt;TaxEnd),"Outside tax year",IF(A1003&lt;DATE(YEAR(TaxStart),7,6),"Q1",IF(A1003&lt;DATE(YEAR(TaxStart),10,6),"Q2",IF(A1003&lt;DATE(YEAR(TaxStart)+1,1,6),"Q3","Q4")))))</f>
        <v/>
      </c>
    </row>
    <row r="1004">
      <c r="A1004" s="8" t="n"/>
      <c r="B1004" s="13" t="n"/>
      <c r="C1004" s="13" t="n"/>
      <c r="D1004" s="13" t="n"/>
      <c r="E1004" s="11" t="n"/>
      <c r="F1004" s="7">
        <f>IF(A1004="","",IF(OR(A1004&lt;TaxStart,A1004&gt;TaxEnd),"Outside tax year",IF(A1004&lt;DATE(YEAR(TaxStart),7,6),"Q1",IF(A1004&lt;DATE(YEAR(TaxStart),10,6),"Q2",IF(A1004&lt;DATE(YEAR(TaxStart)+1,1,6),"Q3","Q4")))))</f>
        <v/>
      </c>
    </row>
  </sheetData>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showDropDown="0" showInputMessage="0" showErrorMessage="0" allowBlank="1" type="list">
      <formula1>=Settings!$D$5:$D$15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8" customWidth="1" min="6" max="6"/>
  </cols>
  <sheetData>
    <row r="1">
      <c r="A1" s="1" t="inlineStr">
        <is>
          <t>Quarterly Summary (MTD)</t>
        </is>
      </c>
    </row>
    <row r="2">
      <c r="A2" s="2" t="inlineStr">
        <is>
          <t>Use these totals for your quarterly updates</t>
        </is>
      </c>
    </row>
    <row r="4">
      <c r="A4" s="5" t="inlineStr"/>
      <c r="B4" s="5" t="inlineStr">
        <is>
          <t>Q1</t>
        </is>
      </c>
      <c r="C4" s="5" t="inlineStr">
        <is>
          <t>Q2</t>
        </is>
      </c>
      <c r="D4" s="5" t="inlineStr">
        <is>
          <t>Q3</t>
        </is>
      </c>
      <c r="E4" s="5" t="inlineStr">
        <is>
          <t>Q4</t>
        </is>
      </c>
      <c r="F4" s="5" t="inlineStr">
        <is>
          <t>Full year</t>
        </is>
      </c>
    </row>
    <row r="5">
      <c r="A5" t="inlineStr">
        <is>
          <t>Period</t>
        </is>
      </c>
      <c r="B5" s="14">
        <f>TEXT(TaxStart,"d mmm yy")&amp;" - "&amp;TEXT(DATE(YEAR(TaxStart),7,5),"d mmm yy")</f>
        <v/>
      </c>
      <c r="C5" s="14">
        <f>TEXT(DATE(YEAR(TaxStart),7,6),"d mmm yy")&amp;" - "&amp;TEXT(DATE(YEAR(TaxStart),10,5),"d mmm yy")</f>
        <v/>
      </c>
      <c r="D5" s="14">
        <f>TEXT(DATE(YEAR(TaxStart),10,6),"d mmm yy")&amp;" - "&amp;TEXT(DATE(YEAR(TaxStart)+1,1,5),"d mmm yy")</f>
        <v/>
      </c>
      <c r="E5" s="14">
        <f>TEXT(DATE(YEAR(TaxStart)+1,1,6),"d mmm yy")&amp;" - "&amp;TEXT(TaxEnd,"d mmm yy")</f>
        <v/>
      </c>
      <c r="F5" s="14">
        <f>TEXT(TaxStart,"d mmm yy")&amp;" - "&amp;TEXT(TaxEnd,"d mmm yy")</f>
        <v/>
      </c>
    </row>
    <row r="6">
      <c r="A6" s="15" t="inlineStr">
        <is>
          <t>Total income</t>
        </is>
      </c>
      <c r="B6" s="16">
        <f>SUMIFS(Income!$D$5:$D$1004,Income!$E$5:$E$1004,B$4)</f>
        <v/>
      </c>
      <c r="C6" s="16">
        <f>SUMIFS(Income!$D$5:$D$1004,Income!$E$5:$E$1004,C$4)</f>
        <v/>
      </c>
      <c r="D6" s="16">
        <f>SUMIFS(Income!$D$5:$D$1004,Income!$E$5:$E$1004,D$4)</f>
        <v/>
      </c>
      <c r="E6" s="16">
        <f>SUMIFS(Income!$D$5:$D$1004,Income!$E$5:$E$1004,E$4)</f>
        <v/>
      </c>
      <c r="F6" s="16">
        <f>SUM(B6:E6)</f>
        <v/>
      </c>
    </row>
    <row r="7">
      <c r="B7" s="17" t="n"/>
      <c r="C7" s="17" t="n"/>
      <c r="D7" s="17" t="n"/>
      <c r="E7" s="17" t="n"/>
      <c r="F7" s="17" t="n"/>
    </row>
    <row r="8">
      <c r="A8" s="18" t="inlineStr">
        <is>
          <t>Expenses by category</t>
        </is>
      </c>
      <c r="B8" s="17" t="n"/>
      <c r="C8" s="17" t="n"/>
      <c r="D8" s="17" t="n"/>
      <c r="E8" s="17" t="n"/>
      <c r="F8" s="17" t="n"/>
    </row>
    <row r="9">
      <c r="A9">
        <f>Settings!D5</f>
        <v/>
      </c>
      <c r="B9" s="17">
        <f>SUMIFS(Expenses!$E$5:$E$1004,Expenses!$D$5:$D$1004,$A9,Expenses!$F$5:$F$1004,B$4)</f>
        <v/>
      </c>
      <c r="C9" s="17">
        <f>SUMIFS(Expenses!$E$5:$E$1004,Expenses!$D$5:$D$1004,$A9,Expenses!$F$5:$F$1004,C$4)</f>
        <v/>
      </c>
      <c r="D9" s="17">
        <f>SUMIFS(Expenses!$E$5:$E$1004,Expenses!$D$5:$D$1004,$A9,Expenses!$F$5:$F$1004,D$4)</f>
        <v/>
      </c>
      <c r="E9" s="17">
        <f>SUMIFS(Expenses!$E$5:$E$1004,Expenses!$D$5:$D$1004,$A9,Expenses!$F$5:$F$1004,E$4)</f>
        <v/>
      </c>
      <c r="F9" s="17">
        <f>SUM(B9:E9)</f>
        <v/>
      </c>
    </row>
    <row r="10">
      <c r="A10">
        <f>Settings!D6</f>
        <v/>
      </c>
      <c r="B10" s="17">
        <f>SUMIFS(Expenses!$E$5:$E$1004,Expenses!$D$5:$D$1004,$A10,Expenses!$F$5:$F$1004,B$4)</f>
        <v/>
      </c>
      <c r="C10" s="17">
        <f>SUMIFS(Expenses!$E$5:$E$1004,Expenses!$D$5:$D$1004,$A10,Expenses!$F$5:$F$1004,C$4)</f>
        <v/>
      </c>
      <c r="D10" s="17">
        <f>SUMIFS(Expenses!$E$5:$E$1004,Expenses!$D$5:$D$1004,$A10,Expenses!$F$5:$F$1004,D$4)</f>
        <v/>
      </c>
      <c r="E10" s="17">
        <f>SUMIFS(Expenses!$E$5:$E$1004,Expenses!$D$5:$D$1004,$A10,Expenses!$F$5:$F$1004,E$4)</f>
        <v/>
      </c>
      <c r="F10" s="17">
        <f>SUM(B10:E10)</f>
        <v/>
      </c>
    </row>
    <row r="11">
      <c r="A11">
        <f>Settings!D7</f>
        <v/>
      </c>
      <c r="B11" s="17">
        <f>SUMIFS(Expenses!$E$5:$E$1004,Expenses!$D$5:$D$1004,$A11,Expenses!$F$5:$F$1004,B$4)</f>
        <v/>
      </c>
      <c r="C11" s="17">
        <f>SUMIFS(Expenses!$E$5:$E$1004,Expenses!$D$5:$D$1004,$A11,Expenses!$F$5:$F$1004,C$4)</f>
        <v/>
      </c>
      <c r="D11" s="17">
        <f>SUMIFS(Expenses!$E$5:$E$1004,Expenses!$D$5:$D$1004,$A11,Expenses!$F$5:$F$1004,D$4)</f>
        <v/>
      </c>
      <c r="E11" s="17">
        <f>SUMIFS(Expenses!$E$5:$E$1004,Expenses!$D$5:$D$1004,$A11,Expenses!$F$5:$F$1004,E$4)</f>
        <v/>
      </c>
      <c r="F11" s="17">
        <f>SUM(B11:E11)</f>
        <v/>
      </c>
    </row>
    <row r="12">
      <c r="A12">
        <f>Settings!D8</f>
        <v/>
      </c>
      <c r="B12" s="17">
        <f>SUMIFS(Expenses!$E$5:$E$1004,Expenses!$D$5:$D$1004,$A12,Expenses!$F$5:$F$1004,B$4)</f>
        <v/>
      </c>
      <c r="C12" s="17">
        <f>SUMIFS(Expenses!$E$5:$E$1004,Expenses!$D$5:$D$1004,$A12,Expenses!$F$5:$F$1004,C$4)</f>
        <v/>
      </c>
      <c r="D12" s="17">
        <f>SUMIFS(Expenses!$E$5:$E$1004,Expenses!$D$5:$D$1004,$A12,Expenses!$F$5:$F$1004,D$4)</f>
        <v/>
      </c>
      <c r="E12" s="17">
        <f>SUMIFS(Expenses!$E$5:$E$1004,Expenses!$D$5:$D$1004,$A12,Expenses!$F$5:$F$1004,E$4)</f>
        <v/>
      </c>
      <c r="F12" s="17">
        <f>SUM(B12:E12)</f>
        <v/>
      </c>
    </row>
    <row r="13">
      <c r="A13">
        <f>Settings!D9</f>
        <v/>
      </c>
      <c r="B13" s="17">
        <f>SUMIFS(Expenses!$E$5:$E$1004,Expenses!$D$5:$D$1004,$A13,Expenses!$F$5:$F$1004,B$4)</f>
        <v/>
      </c>
      <c r="C13" s="17">
        <f>SUMIFS(Expenses!$E$5:$E$1004,Expenses!$D$5:$D$1004,$A13,Expenses!$F$5:$F$1004,C$4)</f>
        <v/>
      </c>
      <c r="D13" s="17">
        <f>SUMIFS(Expenses!$E$5:$E$1004,Expenses!$D$5:$D$1004,$A13,Expenses!$F$5:$F$1004,D$4)</f>
        <v/>
      </c>
      <c r="E13" s="17">
        <f>SUMIFS(Expenses!$E$5:$E$1004,Expenses!$D$5:$D$1004,$A13,Expenses!$F$5:$F$1004,E$4)</f>
        <v/>
      </c>
      <c r="F13" s="17">
        <f>SUM(B13:E13)</f>
        <v/>
      </c>
    </row>
    <row r="14">
      <c r="A14">
        <f>Settings!D10</f>
        <v/>
      </c>
      <c r="B14" s="17">
        <f>SUMIFS(Expenses!$E$5:$E$1004,Expenses!$D$5:$D$1004,$A14,Expenses!$F$5:$F$1004,B$4)</f>
        <v/>
      </c>
      <c r="C14" s="17">
        <f>SUMIFS(Expenses!$E$5:$E$1004,Expenses!$D$5:$D$1004,$A14,Expenses!$F$5:$F$1004,C$4)</f>
        <v/>
      </c>
      <c r="D14" s="17">
        <f>SUMIFS(Expenses!$E$5:$E$1004,Expenses!$D$5:$D$1004,$A14,Expenses!$F$5:$F$1004,D$4)</f>
        <v/>
      </c>
      <c r="E14" s="17">
        <f>SUMIFS(Expenses!$E$5:$E$1004,Expenses!$D$5:$D$1004,$A14,Expenses!$F$5:$F$1004,E$4)</f>
        <v/>
      </c>
      <c r="F14" s="17">
        <f>SUM(B14:E14)</f>
        <v/>
      </c>
    </row>
    <row r="15">
      <c r="A15">
        <f>Settings!D11</f>
        <v/>
      </c>
      <c r="B15" s="17">
        <f>SUMIFS(Expenses!$E$5:$E$1004,Expenses!$D$5:$D$1004,$A15,Expenses!$F$5:$F$1004,B$4)</f>
        <v/>
      </c>
      <c r="C15" s="17">
        <f>SUMIFS(Expenses!$E$5:$E$1004,Expenses!$D$5:$D$1004,$A15,Expenses!$F$5:$F$1004,C$4)</f>
        <v/>
      </c>
      <c r="D15" s="17">
        <f>SUMIFS(Expenses!$E$5:$E$1004,Expenses!$D$5:$D$1004,$A15,Expenses!$F$5:$F$1004,D$4)</f>
        <v/>
      </c>
      <c r="E15" s="17">
        <f>SUMIFS(Expenses!$E$5:$E$1004,Expenses!$D$5:$D$1004,$A15,Expenses!$F$5:$F$1004,E$4)</f>
        <v/>
      </c>
      <c r="F15" s="17">
        <f>SUM(B15:E15)</f>
        <v/>
      </c>
    </row>
    <row r="16">
      <c r="A16">
        <f>Settings!D12</f>
        <v/>
      </c>
      <c r="B16" s="17">
        <f>SUMIFS(Expenses!$E$5:$E$1004,Expenses!$D$5:$D$1004,$A16,Expenses!$F$5:$F$1004,B$4)</f>
        <v/>
      </c>
      <c r="C16" s="17">
        <f>SUMIFS(Expenses!$E$5:$E$1004,Expenses!$D$5:$D$1004,$A16,Expenses!$F$5:$F$1004,C$4)</f>
        <v/>
      </c>
      <c r="D16" s="17">
        <f>SUMIFS(Expenses!$E$5:$E$1004,Expenses!$D$5:$D$1004,$A16,Expenses!$F$5:$F$1004,D$4)</f>
        <v/>
      </c>
      <c r="E16" s="17">
        <f>SUMIFS(Expenses!$E$5:$E$1004,Expenses!$D$5:$D$1004,$A16,Expenses!$F$5:$F$1004,E$4)</f>
        <v/>
      </c>
      <c r="F16" s="17">
        <f>SUM(B16:E16)</f>
        <v/>
      </c>
    </row>
    <row r="17">
      <c r="A17">
        <f>Settings!D13</f>
        <v/>
      </c>
      <c r="B17" s="17">
        <f>SUMIFS(Expenses!$E$5:$E$1004,Expenses!$D$5:$D$1004,$A17,Expenses!$F$5:$F$1004,B$4)</f>
        <v/>
      </c>
      <c r="C17" s="17">
        <f>SUMIFS(Expenses!$E$5:$E$1004,Expenses!$D$5:$D$1004,$A17,Expenses!$F$5:$F$1004,C$4)</f>
        <v/>
      </c>
      <c r="D17" s="17">
        <f>SUMIFS(Expenses!$E$5:$E$1004,Expenses!$D$5:$D$1004,$A17,Expenses!$F$5:$F$1004,D$4)</f>
        <v/>
      </c>
      <c r="E17" s="17">
        <f>SUMIFS(Expenses!$E$5:$E$1004,Expenses!$D$5:$D$1004,$A17,Expenses!$F$5:$F$1004,E$4)</f>
        <v/>
      </c>
      <c r="F17" s="17">
        <f>SUM(B17:E17)</f>
        <v/>
      </c>
    </row>
    <row r="18">
      <c r="A18">
        <f>Settings!D14</f>
        <v/>
      </c>
      <c r="B18" s="17">
        <f>SUMIFS(Expenses!$E$5:$E$1004,Expenses!$D$5:$D$1004,$A18,Expenses!$F$5:$F$1004,B$4)</f>
        <v/>
      </c>
      <c r="C18" s="17">
        <f>SUMIFS(Expenses!$E$5:$E$1004,Expenses!$D$5:$D$1004,$A18,Expenses!$F$5:$F$1004,C$4)</f>
        <v/>
      </c>
      <c r="D18" s="17">
        <f>SUMIFS(Expenses!$E$5:$E$1004,Expenses!$D$5:$D$1004,$A18,Expenses!$F$5:$F$1004,D$4)</f>
        <v/>
      </c>
      <c r="E18" s="17">
        <f>SUMIFS(Expenses!$E$5:$E$1004,Expenses!$D$5:$D$1004,$A18,Expenses!$F$5:$F$1004,E$4)</f>
        <v/>
      </c>
      <c r="F18" s="17">
        <f>SUM(B18:E18)</f>
        <v/>
      </c>
    </row>
    <row r="19">
      <c r="A19">
        <f>Settings!D15</f>
        <v/>
      </c>
      <c r="B19" s="17">
        <f>SUMIFS(Expenses!$E$5:$E$1004,Expenses!$D$5:$D$1004,$A19,Expenses!$F$5:$F$1004,B$4)</f>
        <v/>
      </c>
      <c r="C19" s="17">
        <f>SUMIFS(Expenses!$E$5:$E$1004,Expenses!$D$5:$D$1004,$A19,Expenses!$F$5:$F$1004,C$4)</f>
        <v/>
      </c>
      <c r="D19" s="17">
        <f>SUMIFS(Expenses!$E$5:$E$1004,Expenses!$D$5:$D$1004,$A19,Expenses!$F$5:$F$1004,D$4)</f>
        <v/>
      </c>
      <c r="E19" s="17">
        <f>SUMIFS(Expenses!$E$5:$E$1004,Expenses!$D$5:$D$1004,$A19,Expenses!$F$5:$F$1004,E$4)</f>
        <v/>
      </c>
      <c r="F19" s="17">
        <f>SUM(B19:E19)</f>
        <v/>
      </c>
    </row>
    <row r="20">
      <c r="A20" s="15" t="inlineStr">
        <is>
          <t>Total expenses</t>
        </is>
      </c>
      <c r="B20" s="16">
        <f>SUM(B9:B19)</f>
        <v/>
      </c>
      <c r="C20" s="16">
        <f>SUM(C9:C19)</f>
        <v/>
      </c>
      <c r="D20" s="16">
        <f>SUM(D9:D19)</f>
        <v/>
      </c>
      <c r="E20" s="16">
        <f>SUM(E9:E19)</f>
        <v/>
      </c>
      <c r="F20" s="16">
        <f>SUM(F9:F19)</f>
        <v/>
      </c>
    </row>
    <row r="21">
      <c r="B21" s="17" t="n"/>
      <c r="C21" s="17" t="n"/>
      <c r="D21" s="17" t="n"/>
      <c r="E21" s="17" t="n"/>
      <c r="F21" s="17" t="n"/>
    </row>
    <row r="22">
      <c r="A22" s="15" t="inlineStr">
        <is>
          <t>Net profit (income - expenses)</t>
        </is>
      </c>
      <c r="B22" s="16">
        <f>B6-B20</f>
        <v/>
      </c>
      <c r="C22" s="16">
        <f>C6-C20</f>
        <v/>
      </c>
      <c r="D22" s="16">
        <f>D6-D20</f>
        <v/>
      </c>
      <c r="E22" s="16">
        <f>E6-E20</f>
        <v/>
      </c>
      <c r="F22" s="16">
        <f>F6-F20</f>
        <v/>
      </c>
    </row>
    <row r="24">
      <c r="A24" t="inlineStr">
        <is>
          <t>Check: entries dated outside the tax year (should be 0)</t>
        </is>
      </c>
      <c r="F24">
        <f>COUNTIF(Income!$E$5:$E$1004,"Outside tax year")+COUNTIF(Expenses!$F$5:$F$1004,"Outside tax year")</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58" customWidth="1" min="1" max="1"/>
    <col width="18" customWidth="1" min="2" max="2"/>
    <col width="60" customWidth="1" min="3" max="3"/>
  </cols>
  <sheetData>
    <row r="1">
      <c r="A1" s="1" t="inlineStr">
        <is>
          <t>Tax Estimate</t>
        </is>
      </c>
    </row>
    <row r="2">
      <c r="A2" s="2" t="inlineStr">
        <is>
          <t>Approximate Income Tax + Class 4 NIC on self-employment profit (England, Wales &amp; NI)</t>
        </is>
      </c>
    </row>
    <row r="4">
      <c r="A4" s="5" t="inlineStr"/>
      <c r="B4" s="5" t="inlineStr">
        <is>
          <t>Amount</t>
        </is>
      </c>
      <c r="C4" s="5" t="inlineStr">
        <is>
          <t>Notes</t>
        </is>
      </c>
    </row>
    <row r="5">
      <c r="A5" t="inlineStr">
        <is>
          <t>Total income</t>
        </is>
      </c>
      <c r="B5" s="17">
        <f>'Quarterly Summary'!F6</f>
        <v/>
      </c>
      <c r="C5" s="2" t="inlineStr"/>
    </row>
    <row r="6">
      <c r="A6" t="inlineStr">
        <is>
          <t>Total expenses claimed</t>
        </is>
      </c>
      <c r="B6" s="17">
        <f>'Quarterly Summary'!F20</f>
        <v/>
      </c>
      <c r="C6" s="2" t="inlineStr"/>
    </row>
    <row r="7">
      <c r="A7" t="inlineStr">
        <is>
          <t>Deduction used</t>
        </is>
      </c>
      <c r="B7" s="17">
        <f>MAX(B6,MIN(B5,TradingAllow))</f>
        <v/>
      </c>
      <c r="C7" s="2" t="inlineStr">
        <is>
          <t>Higher of your expenses or the trading allowance (max £1,000)</t>
        </is>
      </c>
    </row>
    <row r="8">
      <c r="A8" s="15" t="inlineStr">
        <is>
          <t>Taxable profit</t>
        </is>
      </c>
      <c r="B8" s="16">
        <f>MAX(0,B5-B7)</f>
        <v/>
      </c>
      <c r="C8" s="2" t="inlineStr"/>
    </row>
    <row r="9">
      <c r="A9" t="inlineStr">
        <is>
          <t>Personal allowance (after taper)</t>
        </is>
      </c>
      <c r="B9" s="17">
        <f>MAX(0,PA-MAX(0,(B8-TaperStart)/2))</f>
        <v/>
      </c>
      <c r="C9" s="2" t="inlineStr">
        <is>
          <t>Reduces £1 for every £2 over £100,000</t>
        </is>
      </c>
    </row>
    <row r="10">
      <c r="A10" t="inlineStr">
        <is>
          <t>Taxable income after allowance</t>
        </is>
      </c>
      <c r="B10" s="17">
        <f>MAX(0,B8-B9)</f>
        <v/>
      </c>
      <c r="C10" s="2" t="inlineStr"/>
    </row>
    <row r="11">
      <c r="A11" t="inlineStr">
        <is>
          <t>Tax at basic rate</t>
        </is>
      </c>
      <c r="B11" s="17">
        <f>BasicRate*MIN(B10,BasicBand)</f>
        <v/>
      </c>
      <c r="C11" s="2" t="inlineStr"/>
    </row>
    <row r="12">
      <c r="A12" t="inlineStr">
        <is>
          <t>Tax at higher rate</t>
        </is>
      </c>
      <c r="B12" s="17">
        <f>HigherRate*MAX(0,MIN(B10,AddlThreshold)-BasicBand)</f>
        <v/>
      </c>
      <c r="C12" s="2" t="inlineStr"/>
    </row>
    <row r="13">
      <c r="A13" t="inlineStr">
        <is>
          <t>Tax at additional rate</t>
        </is>
      </c>
      <c r="B13" s="17">
        <f>AddlRate*MAX(0,B10-AddlThreshold)</f>
        <v/>
      </c>
      <c r="C13" s="2" t="inlineStr"/>
    </row>
    <row r="14">
      <c r="A14" s="15" t="inlineStr">
        <is>
          <t>Income Tax</t>
        </is>
      </c>
      <c r="B14" s="16">
        <f>SUM(B11:B13)</f>
        <v/>
      </c>
      <c r="C14" s="2" t="inlineStr"/>
    </row>
    <row r="15">
      <c r="A15" t="inlineStr">
        <is>
          <t>Class 4 NIC</t>
        </is>
      </c>
      <c r="B15" s="17">
        <f>IF(B8&lt;=NICLower,0,NICMain*(MIN(B8,NICUpper)-NICLower)+NICUpperRate*MAX(0,B8-NICUpper))</f>
        <v/>
      </c>
      <c r="C15" s="2" t="inlineStr">
        <is>
          <t>Class 2 is no longer compulsory</t>
        </is>
      </c>
    </row>
    <row r="16">
      <c r="A16" s="15" t="inlineStr">
        <is>
          <t>Total estimated tax + NIC</t>
        </is>
      </c>
      <c r="B16" s="16">
        <f>B14+B15</f>
        <v/>
      </c>
      <c r="C16" s="2" t="inlineStr"/>
    </row>
    <row r="17">
      <c r="A17" t="inlineStr">
        <is>
          <t>Suggested amount to set aside each month</t>
        </is>
      </c>
      <c r="B17" s="17">
        <f>B16/12</f>
        <v/>
      </c>
      <c r="C17" s="2" t="inlineStr"/>
    </row>
    <row r="18">
      <c r="A18" t="inlineStr">
        <is>
          <t>Effective rate on profit</t>
        </is>
      </c>
      <c r="B18" s="19">
        <f>IF(B8=0,0,B16/B8)</f>
        <v/>
      </c>
      <c r="C18" s="2" t="inlineStr"/>
    </row>
    <row r="20">
      <c r="A20" s="20" t="inlineStr">
        <is>
          <t>Estimate only - not tax advice. Check GOV.UK or ask an accountant before filing.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2026-10-29T01:27:43Z</dcterms:created>
  <dcterms:modified xmlns:dcterms="http://purl.org/dc/terms/" xmlns:xsi="http://www.w3.org/2001/XMLSchema-instance" xsi:type="dcterms:W3CDTF">2026-10-29T01:27:43Z</dcterms:modified>
</cp:coreProperties>
</file>